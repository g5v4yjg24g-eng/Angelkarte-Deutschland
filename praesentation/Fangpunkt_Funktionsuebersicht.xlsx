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ktionen" sheetId="1" state="visible" r:id="rId3"/>
    <sheet name="Infrastruktur" sheetId="2" state="visible" r:id="rId4"/>
    <sheet name="Kosten" sheetId="3" state="visible" r:id="rId5"/>
    <sheet name="Quellen" sheetId="4" state="visible" r:id="rId6"/>
    <sheet name="Medien" sheetId="5" state="visible" r:id="rId7"/>
  </sheets>
  <definedNames>
    <definedName function="false" hidden="true" localSheetId="0" name="_xlnm._FilterDatabase" vbProcedure="false">Funktionen!$A$4:$I$49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2" authorId="0">
      <text>
        <r>
          <rPr>
            <sz val="10"/>
            <rFont val="Arial"/>
            <family val="2"/>
          </rPr>
          <t xml:space="preserve">Quelle: EZB-Referenzkurs vom 29.10.2026 (1 EUR = 1,1130 USD), abgerufen 30.10.2026</t>
        </r>
      </text>
    </comment>
    <comment ref="E3" authorId="0">
      <text>
        <r>
          <rPr>
            <sz val="10"/>
            <rFont val="Arial"/>
            <family val="2"/>
          </rPr>
          <t xml:space="preserve">Annahme: Rechnung an Privatperson in DE mit 19 % USt. Bei Unternehmen ggf. Reverse-Charge.</t>
        </r>
      </text>
    </comment>
  </commentList>
</comments>
</file>

<file path=xl/sharedStrings.xml><?xml version="1.0" encoding="utf-8"?>
<sst xmlns="http://schemas.openxmlformats.org/spreadsheetml/2006/main" count="714" uniqueCount="500">
  <si>
    <t xml:space="preserve">Fangpunkt – Funktionsübersicht (Stand 30.10.2026, geprüft am Code-Stand da94ba6)</t>
  </si>
  <si>
    <t xml:space="preserve">Legende: 🟢 funktioniert (automatisierter Test grün und/oder live vorgeführt) · 🟡 teilweise implementiert oder ungeprüft · 🔴 noch nicht implementiert oder durch fehlende Infrastruktur blockiert</t>
  </si>
  <si>
    <t xml:space="preserve">Bereich</t>
  </si>
  <si>
    <t xml:space="preserve">Funktion</t>
  </si>
  <si>
    <t xml:space="preserve">Status</t>
  </si>
  <si>
    <t xml:space="preserve">Kategorie</t>
  </si>
  <si>
    <t xml:space="preserve">Was funktioniert</t>
  </si>
  <si>
    <t xml:space="preserve">Was fehlt</t>
  </si>
  <si>
    <t xml:space="preserve">Abhängigkeit</t>
  </si>
  <si>
    <t xml:space="preserve">Nächster Schritt</t>
  </si>
  <si>
    <t xml:space="preserve">Nachweis</t>
  </si>
  <si>
    <t xml:space="preserve">A Karte</t>
  </si>
  <si>
    <t xml:space="preserve">Interaktive Deutschlandkarte</t>
  </si>
  <si>
    <t xml:space="preserve">🟢 Grün</t>
  </si>
  <si>
    <t xml:space="preserve">getestet</t>
  </si>
  <si>
    <t xml:space="preserve">MapLibre mit OpenFreeMap-Basiskarte, Zoom/Verschieben, Hell/Dunkel, OSM-Vermerk</t>
  </si>
  <si>
    <t xml:space="preserve">Keine Offline-Karte (bewusst zurückgestellt)</t>
  </si>
  <si>
    <t xml:space="preserve">OpenFreeMap (kostenlos, ohne Garantie)</t>
  </si>
  <si>
    <t xml:space="preserve">Ausfall-Plan: Ersatzstil/eigene Protomaps-Kacheln (M10)</t>
  </si>
  <si>
    <t xml:space="preserve">E2E map.spec (MAP-1..7); Live-Aufnahme Video 01</t>
  </si>
  <si>
    <t xml:space="preserve">Gewässerebene + Suche (ganz DE)</t>
  </si>
  <si>
    <t xml:space="preserve">Eigene OSM-Pipeline: 164,7 MB PMTiles, 16 Länder, Suche nach Gewässer/Ort ohne Fremddienst</t>
  </si>
  <si>
    <t xml:space="preserve">Gewässer-Updates erzeugen neue IDs → Nachfolger-Vorschlag (WAT-4) offen</t>
  </si>
  <si>
    <t xml:space="preserve">GitHub Pages + Actions-Workflow „Gewässerdaten erzeugen“</t>
  </si>
  <si>
    <t xml:space="preserve">WAT-4 mit zweitem Datenstand umsetzen</t>
  </si>
  <si>
    <t xml:space="preserve">E2E water.spec; Live: Suche „Möhnesee“, Profil De Wittsee</t>
  </si>
  <si>
    <t xml:space="preserve">GPS-Standort</t>
  </si>
  <si>
    <t xml:space="preserve">Standort beim Kartenstart (abschaltbar), Genauigkeit, „Zu meinem Standort“</t>
  </si>
  <si>
    <t xml:space="preserve">—</t>
  </si>
  <si>
    <t xml:space="preserve">Browser-Geolocation</t>
  </si>
  <si>
    <t xml:space="preserve">Gerätetests iOS/Android</t>
  </si>
  <si>
    <t xml:space="preserve">E2E map.spec MAP-1/2/7</t>
  </si>
  <si>
    <t xml:space="preserve">Angelspots/Markierungen</t>
  </si>
  <si>
    <t xml:space="preserve">6 Typen (Angelstelle, Steg, Parkplatz, Zugang, Gefahrenstelle, Sonstige), anlegen/bearbeiten/löschen mit Rückgängig</t>
  </si>
  <si>
    <t xml:space="preserve">Spots teilen (siehe Community)</t>
  </si>
  <si>
    <t xml:space="preserve">lokal (IndexedDB)</t>
  </si>
  <si>
    <t xml:space="preserve">E2E map.spec MAP-3/MRK-1</t>
  </si>
  <si>
    <t xml:space="preserve">Heatmap eigener Fänge</t>
  </si>
  <si>
    <t xml:space="preserve">Farbskala Blau→Rot, Warnung unter 30 Fängen</t>
  </si>
  <si>
    <t xml:space="preserve">lokal</t>
  </si>
  <si>
    <t xml:space="preserve">E2E heatmap.spec; Screenshot 02</t>
  </si>
  <si>
    <t xml:space="preserve">Gewässerprofil &amp; Gewässerkarte (Angelkarte)</t>
  </si>
  <si>
    <t xml:space="preserve">🟡 Gelb</t>
  </si>
  <si>
    <t xml:space="preserve">teilweise implementiert</t>
  </si>
  <si>
    <t xml:space="preserve">Fläche, Lage, Land, Rechtslink, eigene Daten; Angelkarten-Links: 20 geprüfte NRW-Gewässer + Hohendeicher See, Landesverbände in 15 Ländern, eigener Link</t>
  </si>
  <si>
    <t xml:space="preserve">Bremen ohne Verband; weitere Gewässer nur nach redaktioneller Prüfung; keine bundesweite Quelle</t>
  </si>
  <si>
    <t xml:space="preserve">Redaktion (manuelle Prüfung je Link)</t>
  </si>
  <si>
    <t xml:space="preserve">Weitere Pakete nach Vorgabe; Prüfung spätestens nach 12 Monaten</t>
  </si>
  <si>
    <t xml:space="preserve">E2E water.spec PRM-5; Unit permits</t>
  </si>
  <si>
    <t xml:space="preserve">Tiefenkarten</t>
  </si>
  <si>
    <t xml:space="preserve">🔴 Rot</t>
  </si>
  <si>
    <t xml:space="preserve">durch fehlende Infrastruktur blockiert</t>
  </si>
  <si>
    <t xml:space="preserve">Profil zeigt ehrlich „nicht verfügbar“; Schnittstelle vorgesehen</t>
  </si>
  <si>
    <t xml:space="preserve">Keine Tiefendaten mit Nutzungsrecht</t>
  </si>
  <si>
    <t xml:space="preserve">Lizenz (Garmin/Navionics, LM M-V, Anglerverband HH) – nicht technisch</t>
  </si>
  <si>
    <t xml:space="preserve">Lizenzanfragen stellen (M9)</t>
  </si>
  <si>
    <t xml:space="preserve">DATA_SOURCES §3; E2E WAT-5</t>
  </si>
  <si>
    <t xml:space="preserve">Fischarten je Gewässer</t>
  </si>
  <si>
    <t xml:space="preserve">noch nicht implementiert</t>
  </si>
  <si>
    <t xml:space="preserve">Profil zeigt „Keine geprüften Angaben“</t>
  </si>
  <si>
    <t xml:space="preserve">Datenaufbereitung (Monitoring/GBIF, Stufe 2)</t>
  </si>
  <si>
    <t xml:space="preserve">Datenquellen + Lizenz (CC BY)</t>
  </si>
  <si>
    <t xml:space="preserve">P2: Quelle aufbereiten</t>
  </si>
  <si>
    <t xml:space="preserve">PLAN §3 (P2)</t>
  </si>
  <si>
    <t xml:space="preserve">B Fangbuch</t>
  </si>
  <si>
    <t xml:space="preserve">Fang/Kontakt/Fehlbiss/Beobachtung erfassen</t>
  </si>
  <si>
    <t xml:space="preserve">Tipp auf die Karte oder „Am eigenen Standort“, Art, Länge, Gewicht, Köder, Methode, Bedingungen, Notizen; offline</t>
  </si>
  <si>
    <t xml:space="preserve">E2E catches.spec CAT-1..; Video 02</t>
  </si>
  <si>
    <t xml:space="preserve">Fotos zum Fang</t>
  </si>
  <si>
    <t xml:space="preserve">Kamera/Galerie, verkleinert, EXIF/GPS entfernt, Speicher-voll-Meldung</t>
  </si>
  <si>
    <t xml:space="preserve">Fotos nur auf dem Gerät</t>
  </si>
  <si>
    <t xml:space="preserve">E2E photos.spec CAT-2/CAT-5</t>
  </si>
  <si>
    <t xml:space="preserve">Fanghistorie nach Gewässern, Suche, Filter</t>
  </si>
  <si>
    <t xml:space="preserve">Liste nach Tagen, Reiter je Gewässer (200-m-Gruppierung), Umbenennen unbekannter Gewässer</t>
  </si>
  <si>
    <t xml:space="preserve">E2E water-assign.spec; Screenshot 10/11</t>
  </si>
  <si>
    <t xml:space="preserve">Rechts-Warnung beim Erfassen</t>
  </si>
  <si>
    <t xml:space="preserve">Schonzeit/Mindestmaß/Entnahmefenster im Fang-Bundesland, warnt nur, mit Paragraf</t>
  </si>
  <si>
    <t xml:space="preserve">Nur so gut wie die Landesdatei (teilweise geprüft)</t>
  </si>
  <si>
    <t xml:space="preserve">Landesgrenzen aus Pipeline + Rechtsdaten</t>
  </si>
  <si>
    <t xml:space="preserve">E2E law-check.spec; Video 02 (Hecht 38 cm)</t>
  </si>
  <si>
    <t xml:space="preserve">Wetter &amp; Pegel am Fang</t>
  </si>
  <si>
    <t xml:space="preserve">Open-Meteo-Modellwerte automatisch (ab 2022), Pegel bis 15 km (Bund 30 Tage, NRW 6 Tage)</t>
  </si>
  <si>
    <t xml:space="preserve">Pegel nur Bundeswasserstraßen + NRW</t>
  </si>
  <si>
    <t xml:space="preserve">Open-Meteo (nur nicht-kommerziell kostenlos), PEGELONLINE, OpenHygon NRW</t>
  </si>
  <si>
    <t xml:space="preserve">Bei Kommerzialisierung Wetter-Lizenz neu bewerten</t>
  </si>
  <si>
    <t xml:space="preserve">E2E weather.spec; Live: 45/45 Testeinträge mit echtem Wetter</t>
  </si>
  <si>
    <t xml:space="preserve">Statistik</t>
  </si>
  <si>
    <t xml:space="preserve">Kennzahlen mit Datenbasis, Verlauf, Arten, Gewässer, Köder, Methoden, Rekorde, Session-Vergleich, Filter</t>
  </si>
  <si>
    <t xml:space="preserve">E2E stats.spec STA-1..7; Video 05</t>
  </si>
  <si>
    <t xml:space="preserve">Köder-Favoriten, CSV-Export</t>
  </si>
  <si>
    <t xml:space="preserve">Favoriten im Formular, CSV gegen Formel-Injektion entschärft</t>
  </si>
  <si>
    <t xml:space="preserve">E2E baits.spec, csv.spec</t>
  </si>
  <si>
    <t xml:space="preserve">C Sessions</t>
  </si>
  <si>
    <t xml:space="preserve">Session starten/beenden, Pausen</t>
  </si>
  <si>
    <t xml:space="preserve">Einträge werden zugeordnet, Pausen, Korrektur bei &gt; 24 h</t>
  </si>
  <si>
    <t xml:space="preserve">E2E sessions.spec SES-1..4; Video 03</t>
  </si>
  <si>
    <t xml:space="preserve">GPS-Route + Rückblick</t>
  </si>
  <si>
    <t xml:space="preserve">Route während der Session, animierter Rückblick mit Fängen, Highlights, Chronik; Lücken bleiben offen</t>
  </si>
  <si>
    <t xml:space="preserve">Aufzeichnung nur bei geöffneter App</t>
  </si>
  <si>
    <t xml:space="preserve">E2E review.spec REV-1..4; Video 03/04 (Route live aufgezeichnet)</t>
  </si>
  <si>
    <t xml:space="preserve">Hintergrund-Aufzeichnung</t>
  </si>
  <si>
    <t xml:space="preserve">PWA darf GPS im Hintergrund nicht nutzen (v. a. iOS)</t>
  </si>
  <si>
    <t xml:space="preserve">Native App-Hülle (z. B. Capacitor) + App-Stores</t>
  </si>
  <si>
    <t xml:space="preserve">Entscheidung native App (P3)</t>
  </si>
  <si>
    <t xml:space="preserve">PLAN Risiko R6</t>
  </si>
  <si>
    <t xml:space="preserve">D Wetter</t>
  </si>
  <si>
    <t xml:space="preserve">Vorhersage &amp; Luftdruckverlauf</t>
  </si>
  <si>
    <t xml:space="preserve">7 Tage, stündlich, Standort oder Gewässer aus dem Fangbuch</t>
  </si>
  <si>
    <t xml:space="preserve">Nur online</t>
  </si>
  <si>
    <t xml:space="preserve">Open-Meteo Free (nicht-kommerziell)</t>
  </si>
  <si>
    <t xml:space="preserve">E2E forecast.spec; Live-Daten 30.10.2026</t>
  </si>
  <si>
    <t xml:space="preserve">Amtliche Unwetterwarnungen</t>
  </si>
  <si>
    <t xml:space="preserve">DWD-Warnungen über Bright Sky (Wetter-Seite, Termine)</t>
  </si>
  <si>
    <t xml:space="preserve">Ratenlimits/Datenschutz von Bright Sky ungeklärt</t>
  </si>
  <si>
    <t xml:space="preserve">Bright Sky (kostenlos)</t>
  </si>
  <si>
    <t xml:space="preserve">Datenschutzhinweis prüfen</t>
  </si>
  <si>
    <t xml:space="preserve">Live: Nebelwarnung Nettetal 30.10.2026 (Screenshot 23)</t>
  </si>
  <si>
    <t xml:space="preserve">Beißfenster &amp; Solunar</t>
  </si>
  <si>
    <t xml:space="preserve">Eigene Auswertung ab 20 Bissen (Tageszeit, Luftdruck, Tendenz, Pegellage), Solunar offline mit Hinweis „Theorie“</t>
  </si>
  <si>
    <t xml:space="preserve">Keine KI-Prognose (bewusst)</t>
  </si>
  <si>
    <t xml:space="preserve">Unit biteAnalysis/solunar; Screenshot 25–27</t>
  </si>
  <si>
    <t xml:space="preserve">Pegelkarte am Standort</t>
  </si>
  <si>
    <t xml:space="preserve">ungeprüft</t>
  </si>
  <si>
    <t xml:space="preserve">Nächster Pegel (Bund/NRW) mit Wasserstand und Tendenz</t>
  </si>
  <si>
    <t xml:space="preserve">In dieser Prüfung nicht live gezeigt; nur Bundeswasserstraßen + NRW</t>
  </si>
  <si>
    <t xml:space="preserve">PEGELONLINE, OpenHygon</t>
  </si>
  <si>
    <t xml:space="preserve">Gerätetest an einem Pegel-Gewässer</t>
  </si>
  <si>
    <t xml:space="preserve">Unit gauges/pegelonline/hygonNrw; E2E nur mit Attrappe</t>
  </si>
  <si>
    <t xml:space="preserve">Angelkalender + .ics-Export</t>
  </si>
  <si>
    <t xml:space="preserve">Monat/Woche/Tag, Termine mit Gewässer, Wetter 7 Tage, Export in Handy-Kalender</t>
  </si>
  <si>
    <t xml:space="preserve">Unit trip/ics; Video 06</t>
  </si>
  <si>
    <t xml:space="preserve">E Recht</t>
  </si>
  <si>
    <t xml:space="preserve">Landesrecht aller 16 Länder</t>
  </si>
  <si>
    <t xml:space="preserve">Schonzeiten, Mindestmaße, geschützte Arten, Fischereischein; Status „teilweise geprüft“, Prüfdatum, Quellen</t>
  </si>
  <si>
    <t xml:space="preserve">Offen: Berliner Landesfischereischeingesetz, Abgabe-VO TH/SH/ST/RP, SH-Urlauberschein, NRW Äschen-Abschnitte/Prüfungsordnung/Gebühren</t>
  </si>
  <si>
    <t xml:space="preserve">Redaktion + Gegenprüfung durch Nutzer</t>
  </si>
  <si>
    <t xml:space="preserve">Offene Punkte nachtragen, jährlich prüfen</t>
  </si>
  <si>
    <t xml:space="preserve">Unit regulations + validate:data; Video 07</t>
  </si>
  <si>
    <t xml:space="preserve">Artsuche + „Nur Fische in der Schonzeit“</t>
  </si>
  <si>
    <t xml:space="preserve">Suche auch mit wiss. Namen/Synonymen</t>
  </si>
  <si>
    <t xml:space="preserve">Unit RegulationView; Screenshot 31</t>
  </si>
  <si>
    <t xml:space="preserve">Bundesland-Erkennung per Standort</t>
  </si>
  <si>
    <t xml:space="preserve">Landesgrenzen aus OSM, an Grenzen Nachfrage (&lt; 150 m)</t>
  </si>
  <si>
    <t xml:space="preserve">Pipeline-Daten</t>
  </si>
  <si>
    <t xml:space="preserve">Unit regulationCheck/geo</t>
  </si>
  <si>
    <t xml:space="preserve">Rote Liste / Gefährdungsstatus</t>
  </si>
  <si>
    <t xml:space="preserve">Nur „ganzjährig geschützte Arten“ laut Landesrecht</t>
  </si>
  <si>
    <t xml:space="preserve">Keine Rote-Liste-Daten</t>
  </si>
  <si>
    <t xml:space="preserve">Datenquelle + Lizenz</t>
  </si>
  <si>
    <t xml:space="preserve">Bedarf klären</t>
  </si>
  <si>
    <t xml:space="preserve">Code-Analyse</t>
  </si>
  <si>
    <t xml:space="preserve">Gewässerspezifische Regeln/Zonen</t>
  </si>
  <si>
    <t xml:space="preserve">Hinweis „frag den Verein“</t>
  </si>
  <si>
    <t xml:space="preserve">Keine offenen Daten</t>
  </si>
  <si>
    <t xml:space="preserve">Kooperationen mit Vereinen</t>
  </si>
  <si>
    <t xml:space="preserve">P3</t>
  </si>
  <si>
    <t xml:space="preserve">PLAN §3</t>
  </si>
  <si>
    <t xml:space="preserve">F Community</t>
  </si>
  <si>
    <t xml:space="preserve">Profil, Beiträge, Gefällt mir, Kommentare</t>
  </si>
  <si>
    <t xml:space="preserve">Profilbild, Text, Beiträge mit 1–10 Fotos, Daumen, Kommentare – nur lokal (eigene)</t>
  </si>
  <si>
    <t xml:space="preserve">Follower, Freunde, fremde Reaktionen: „Demnächst“</t>
  </si>
  <si>
    <t xml:space="preserve">Konto + Server (Supabase Storage)</t>
  </si>
  <si>
    <t xml:space="preserve">Mit Konto verknüpfen (Etappe 2/3)</t>
  </si>
  <si>
    <t xml:space="preserve">E2E profile.spec PRF-4..7; Screenshot 38</t>
  </si>
  <si>
    <t xml:space="preserve">Registrierung/Login (E-Mail-Code)</t>
  </si>
  <si>
    <t xml:space="preserve">Code fertig (Supabase, Nutzername, Konto löschen), in E2E mit nachgebildetem Supabase grün; in der App ausgeblendet („Demnächst“)</t>
  </si>
  <si>
    <t xml:space="preserve">Eigener SMTP-Versand + Domain; Standard-Mail erreicht echte Postfächer nicht</t>
  </si>
  <si>
    <t xml:space="preserve">SMTP-Anbieter (Brevo) + Domain + Supabase</t>
  </si>
  <si>
    <t xml:space="preserve">Domain kaufen, SMTP einrichten, Code-Vorlage, freischalten</t>
  </si>
  <si>
    <t xml:space="preserve">E2E account.spec; Test Nutzer 26.10.2026; Screenshot 36/36b</t>
  </si>
  <si>
    <t xml:space="preserve">Freunde hinzufügen</t>
  </si>
  <si>
    <t xml:space="preserve">Knopf zeigt „Demnächst“</t>
  </si>
  <si>
    <t xml:space="preserve">Freundschaften, Anfragen, Blockieren</t>
  </si>
  <si>
    <t xml:space="preserve">Konto (blockiert)</t>
  </si>
  <si>
    <t xml:space="preserve">Etappe 2 nach Konto</t>
  </si>
  <si>
    <t xml:space="preserve">Spots/Fänge/Highlights teilen</t>
  </si>
  <si>
    <t xml:space="preserve">Freigabe pro Spot, Abgleich, ggf. Ende-zu-Ende-Verschlüsselung</t>
  </si>
  <si>
    <t xml:space="preserve">Konto + Server</t>
  </si>
  <si>
    <t xml:space="preserve">Etappe 3; Variante entscheiden (PLAN „Idee“)</t>
  </si>
  <si>
    <t xml:space="preserve">PLAN Idee Spots teilen</t>
  </si>
  <si>
    <t xml:space="preserve">G Daten</t>
  </si>
  <si>
    <t xml:space="preserve">Lokale Speicherung</t>
  </si>
  <si>
    <t xml:space="preserve">IndexedDB (Dexie v6) mit Migrationen, Zod-Schemas, „Dauerhaft speichern“</t>
  </si>
  <si>
    <t xml:space="preserve">Browser kann Daten löschen (iOS ohne Installation)</t>
  </si>
  <si>
    <t xml:space="preserve">Gerät</t>
  </si>
  <si>
    <t xml:space="preserve">Installation empfehlen</t>
  </si>
  <si>
    <t xml:space="preserve">Unit db/Migrationstests</t>
  </si>
  <si>
    <t xml:space="preserve">Offline-Nutzung</t>
  </si>
  <si>
    <t xml:space="preserve">App startet offline, Fangbuch/Recht offline nutzbar</t>
  </si>
  <si>
    <t xml:space="preserve">Karte und Wetter brauchen Netz; keine Offline-Kartenregionen</t>
  </si>
  <si>
    <t xml:space="preserve">Eigenes Kachel-Hosting (R2) für Offline-Karten</t>
  </si>
  <si>
    <t xml:space="preserve">M10 bei Bedarf</t>
  </si>
  <si>
    <t xml:space="preserve">E2E pwa.spec PWA-6, map.spec MAP-5</t>
  </si>
  <si>
    <t xml:space="preserve">Sicherung &amp; Wiederherstellung</t>
  </si>
  <si>
    <t xml:space="preserve">ZIP mit Fotos / JSON, Prüfsumme, Vorschau, Konfliktwahl, Import der Alt-App, Erinnerung</t>
  </si>
  <si>
    <t xml:space="preserve">Datei muss der Nutzer selbst ablegen</t>
  </si>
  <si>
    <t xml:space="preserve">E2E backup.spec</t>
  </si>
  <si>
    <t xml:space="preserve">Synchronisierung/Cloud-Sicherung</t>
  </si>
  <si>
    <t xml:space="preserve">Datenmodell vorbereitet (UUID, updatedAt, deletedAt, rev)</t>
  </si>
  <si>
    <t xml:space="preserve">Server-Sync, Konfliktlösung</t>
  </si>
  <si>
    <t xml:space="preserve">Konto + Supabase</t>
  </si>
  <si>
    <t xml:space="preserve">Etappe 3 / P3</t>
  </si>
  <si>
    <t xml:space="preserve">ARCHITECTURE §9</t>
  </si>
  <si>
    <t xml:space="preserve">H Allgemein</t>
  </si>
  <si>
    <t xml:space="preserve">Navigation, Einstellungen, Hell/Dunkel</t>
  </si>
  <si>
    <t xml:space="preserve">Leiste Karte·Fangbuch·Profil·Wetter·Mehr, Glas-Linse, Einstellungen</t>
  </si>
  <si>
    <t xml:space="preserve">E2E app.spec, a11y.spec (axe 0 Befunde)</t>
  </si>
  <si>
    <t xml:space="preserve">Smartphone- und PC-Darstellung</t>
  </si>
  <si>
    <t xml:space="preserve">390 px mobil, Desktop mit Seitenleiste</t>
  </si>
  <si>
    <t xml:space="preserve">Echte Geräte-Matrix offen</t>
  </si>
  <si>
    <t xml:space="preserve">E2E Projekte mobil + desktop; Screenshots 50–55</t>
  </si>
  <si>
    <t xml:space="preserve">PWA-Installation &amp; Updates</t>
  </si>
  <si>
    <t xml:space="preserve">Manifest, Icons, Service Worker, Update-Hinweis</t>
  </si>
  <si>
    <t xml:space="preserve">Installation auf echten Geräten nicht in dieser Prüfung</t>
  </si>
  <si>
    <t xml:space="preserve">E2E pwa.spec PWA-1/6</t>
  </si>
  <si>
    <t xml:space="preserve">Datenschutzseite &amp; Nutzungszählung</t>
  </si>
  <si>
    <t xml:space="preserve">Datenschutzseite belegt Datenflüsse (PRIV-1); GoatCounter nur Bereichspfade, abschaltbar</t>
  </si>
  <si>
    <t xml:space="preserve">Ob GOATCOUNTER_CODE gesetzt ist, nicht prüfbar; Impressum/Datenschutzerklärung für öffentlichen Start fehlen</t>
  </si>
  <si>
    <t xml:space="preserve">GitHub-Repository-Variable</t>
  </si>
  <si>
    <t xml:space="preserve">Rechtstexte vor öffentlichem Start</t>
  </si>
  <si>
    <t xml:space="preserve">E2E privacy.spec</t>
  </si>
  <si>
    <t xml:space="preserve">Knoten, Montagen, Köderführung</t>
  </si>
  <si>
    <t xml:space="preserve">9 Knoten, 8 Montagen, 8 Techniken animiert</t>
  </si>
  <si>
    <t xml:space="preserve">Fachliche Gegenprüfung offen (6 Knoten, alle Montagen und Techniken)</t>
  </si>
  <si>
    <t xml:space="preserve">Redaktion</t>
  </si>
  <si>
    <t xml:space="preserve">Gegenprüfung durch Angel-Experten</t>
  </si>
  <si>
    <t xml:space="preserve">E2E knots.spec; Screenshots 39–41</t>
  </si>
  <si>
    <t xml:space="preserve">Neuigkeiten-Fenster</t>
  </si>
  <si>
    <t xml:space="preserve">„Neu in Fangpunkt“ nach Updates</t>
  </si>
  <si>
    <t xml:space="preserve">E2E whatsnew.spec</t>
  </si>
  <si>
    <t xml:space="preserve">Fischbestimmung per Foto</t>
  </si>
  <si>
    <t xml:space="preserve">Nur als Schnittstelle beschrieben</t>
  </si>
  <si>
    <t xml:space="preserve">Modell/Anbieter</t>
  </si>
  <si>
    <t xml:space="preserve">KI-Dienst oder lokales Modell</t>
  </si>
  <si>
    <t xml:space="preserve">ARCHITECTURE §10</t>
  </si>
  <si>
    <t xml:space="preserve">Fehler-Monitoring</t>
  </si>
  <si>
    <t xml:space="preserve">Error Boundaries pro Bereich</t>
  </si>
  <si>
    <t xml:space="preserve">Keine Fehlerprotokolle aus dem Feld</t>
  </si>
  <si>
    <t xml:space="preserve">Sentry o. ä.</t>
  </si>
  <si>
    <t xml:space="preserve">P2 vor öffentlicher Beta</t>
  </si>
  <si>
    <t xml:space="preserve">App-Store-Apps (iOS/Android)</t>
  </si>
  <si>
    <t xml:space="preserve">PWA im Browser installierbar</t>
  </si>
  <si>
    <t xml:space="preserve">Native Hülle, Store-Konten</t>
  </si>
  <si>
    <t xml:space="preserve">Apple 99 $/Jahr, Google 25 $ einmalig</t>
  </si>
  <si>
    <t xml:space="preserve">Nur bei Bedarf (Hintergrund-GPS, Push)</t>
  </si>
  <si>
    <t xml:space="preserve">Zählung</t>
  </si>
  <si>
    <t xml:space="preserve">Gesamt</t>
  </si>
  <si>
    <t xml:space="preserve">Komponente</t>
  </si>
  <si>
    <t xml:space="preserve">Wofür</t>
  </si>
  <si>
    <t xml:space="preserve">Vorhanden?</t>
  </si>
  <si>
    <t xml:space="preserve">Abhängige Funktionen</t>
  </si>
  <si>
    <t xml:space="preserve">Ohne sie</t>
  </si>
  <si>
    <t xml:space="preserve">Empfehlung</t>
  </si>
  <si>
    <t xml:space="preserve">Alternativen</t>
  </si>
  <si>
    <t xml:space="preserve">Kosten</t>
  </si>
  <si>
    <t xml:space="preserve">Webhosting / PWA</t>
  </si>
  <si>
    <t xml:space="preserve">App-Dateien und Gewässerdaten (164,7 MB) ausliefern</t>
  </si>
  <si>
    <t xml:space="preserve">Ja – GitHub Pages (Actions-Workflow)</t>
  </si>
  <si>
    <t xml:space="preserve">alle</t>
  </si>
  <si>
    <t xml:space="preserve">GitHub Pages behalten, solange nicht kommerziell</t>
  </si>
  <si>
    <t xml:space="preserve">Cloudflare Pages + R2 (Pages-Dateigrenze 25 MiB → PMTiles nach R2), Hetzner</t>
  </si>
  <si>
    <t xml:space="preserve">0 €; R2: 10 GB frei, danach 0,015 $/GB-Monat, kein Egress</t>
  </si>
  <si>
    <t xml:space="preserve">Backend / API</t>
  </si>
  <si>
    <t xml:space="preserve">Konten, Freunde, Teilen, Sync</t>
  </si>
  <si>
    <t xml:space="preserve">Teilweise – Supabase-Projekt (EU, Free) mit Tabelle profiles + RLS</t>
  </si>
  <si>
    <t xml:space="preserve">Konto, Community, Sync</t>
  </si>
  <si>
    <t xml:space="preserve">Alles bleibt lokal; keine Freunde/Teilen</t>
  </si>
  <si>
    <t xml:space="preserve">Supabase (ein Anbieter für API, DB, Auth, Storage)</t>
  </si>
  <si>
    <t xml:space="preserve">Hetzner + PocketBase (6,49 €/Monat netto), Firebase</t>
  </si>
  <si>
    <t xml:space="preserve">Free 0 $ / Pro ab 25 $/Monat</t>
  </si>
  <si>
    <t xml:space="preserve">Datenbank</t>
  </si>
  <si>
    <t xml:space="preserve">Server-Daten (Profile, Freundschaften, geteilte Spots)</t>
  </si>
  <si>
    <t xml:space="preserve">Teilweise – Postgres in Supabase (nur profiles)</t>
  </si>
  <si>
    <t xml:space="preserve">Community, Sync</t>
  </si>
  <si>
    <t xml:space="preserve">Supabase Postgres, ab öffentlicher Beta Pro (tägliche Backups 7 Tage)</t>
  </si>
  <si>
    <t xml:space="preserve">PITR +100 $/Monat; eigene Postgres-Instanz</t>
  </si>
  <si>
    <t xml:space="preserve">in Supabase enthalten</t>
  </si>
  <si>
    <t xml:space="preserve">Benutzerverwaltung</t>
  </si>
  <si>
    <t xml:space="preserve">Anmeldung per E-Mail-Code, Nutzername</t>
  </si>
  <si>
    <t xml:space="preserve">Code ja, Betrieb nein (ausgeblendet)</t>
  </si>
  <si>
    <t xml:space="preserve">Konto, Freunde, Teilen</t>
  </si>
  <si>
    <t xml:space="preserve">Kein Konto möglich</t>
  </si>
  <si>
    <t xml:space="preserve">Supabase Auth (50 000 MAU frei / 100 000 im Pro)</t>
  </si>
  <si>
    <t xml:space="preserve">Clerk, Auth0, eigener Server</t>
  </si>
  <si>
    <t xml:space="preserve">in Supabase enthalten; 0,00325 $ je weiterem MAU</t>
  </si>
  <si>
    <t xml:space="preserve">E-Mail-Versand</t>
  </si>
  <si>
    <t xml:space="preserve">Anmeldecodes zustellen</t>
  </si>
  <si>
    <t xml:space="preserve">Nein – Standard-Mail von Supabase nur an Team-Adressen</t>
  </si>
  <si>
    <t xml:space="preserve">Konto bleibt „Demnächst“</t>
  </si>
  <si>
    <t xml:space="preserve">Brevo (EU) per SMTP mit eigener Domain, Vorlage nur mit Code</t>
  </si>
  <si>
    <t xml:space="preserve">Resend (Free 3 000/Monat, 100/Tag; Pro 20 $/50 000)</t>
  </si>
  <si>
    <t xml:space="preserve">Brevo Free: 300 Mails/Tag; Starter ca. 9 $/Monat [Drittquellen]</t>
  </si>
  <si>
    <t xml:space="preserve">Domain</t>
  </si>
  <si>
    <t xml:space="preserve">Absender für Mails (SPF/DKIM/DMARC), später App-Adresse</t>
  </si>
  <si>
    <t xml:space="preserve">Nein – fangpunkt.app vorgesehen</t>
  </si>
  <si>
    <t xml:space="preserve">E-Mail, Markenauftritt</t>
  </si>
  <si>
    <t xml:space="preserve">Kein eigener Absender</t>
  </si>
  <si>
    <t xml:space="preserve">fangpunkt.app bei einem EU-Registrar</t>
  </si>
  <si>
    <t xml:space="preserve">andere Registrare, .de (fangpunkt.de belegt)</t>
  </si>
  <si>
    <t xml:space="preserve">INWX: 20,10 €/Jahr (Listenpreis; Verlängerung prüfen)</t>
  </si>
  <si>
    <t xml:space="preserve">Kartenanbieter</t>
  </si>
  <si>
    <t xml:space="preserve">Basiskarte (Vektorkacheln)</t>
  </si>
  <si>
    <t xml:space="preserve">Ja – OpenFreeMap</t>
  </si>
  <si>
    <t xml:space="preserve">Karte</t>
  </si>
  <si>
    <t xml:space="preserve">Karte leer, eigene Daten bleiben sichtbar</t>
  </si>
  <si>
    <t xml:space="preserve">OpenFreeMap behalten, Ausweichstil vorbereiten</t>
  </si>
  <si>
    <t xml:space="preserve">MapTiler, eigene Protomaps-PMTiles auf R2</t>
  </si>
  <si>
    <t xml:space="preserve">0 € (ohne Garantie)</t>
  </si>
  <si>
    <t xml:space="preserve">GPS, Suche, Routing</t>
  </si>
  <si>
    <t xml:space="preserve">Standort, Gewässer-/Ortssuche</t>
  </si>
  <si>
    <t xml:space="preserve">Ja – Browser-GPS, eigener Suchindex aus der Pipeline</t>
  </si>
  <si>
    <t xml:space="preserve">Karte, Sessions</t>
  </si>
  <si>
    <t xml:space="preserve">Beibehalten (kein Fremd-Geocoder nötig); Routing wird nicht gebraucht</t>
  </si>
  <si>
    <t xml:space="preserve">Nominatim/Photon (Nutzungsgrenzen)</t>
  </si>
  <si>
    <t xml:space="preserve">0 €</t>
  </si>
  <si>
    <t xml:space="preserve">Wetter, Warnungen, Pegel</t>
  </si>
  <si>
    <t xml:space="preserve">Wetter am Fang, Vorhersage, Warnungen, Pegel</t>
  </si>
  <si>
    <t xml:space="preserve">Ja – Open-Meteo, Bright Sky (DWD), PEGELONLINE, OpenHygon NRW</t>
  </si>
  <si>
    <t xml:space="preserve">Wetter-Bereich, Beißfenster</t>
  </si>
  <si>
    <t xml:space="preserve">Wetterbereich leer, Fangbuch läuft weiter</t>
  </si>
  <si>
    <t xml:space="preserve">Open-Meteo Free solange nicht kommerziell</t>
  </si>
  <si>
    <t xml:space="preserve">Open-Meteo-Abo (Standard ca. 29 $/Monat, ohne Historical-API), Bright Sky für Vorhersage</t>
  </si>
  <si>
    <t xml:space="preserve">0 € (nicht-kommerziell)</t>
  </si>
  <si>
    <t xml:space="preserve">Datensicherung &amp; Speicher</t>
  </si>
  <si>
    <t xml:space="preserve">Fotos/Beiträge für Community, Backups</t>
  </si>
  <si>
    <t xml:space="preserve">Lokal ja (ZIP/JSON); Server nein</t>
  </si>
  <si>
    <t xml:space="preserve">Teilen, Cloud-Sicherung</t>
  </si>
  <si>
    <t xml:space="preserve">Datenverlust bei Gerätewechsel ohne Sicherungsdatei</t>
  </si>
  <si>
    <t xml:space="preserve">Supabase Storage (Pro: 100 GB inkl.) + tägliche DB-Backups</t>
  </si>
  <si>
    <t xml:space="preserve">Cloudflare R2, Hetzner Storage</t>
  </si>
  <si>
    <t xml:space="preserve">Pro: 0,0213 $/GB über 100 GB</t>
  </si>
  <si>
    <t xml:space="preserve">Monitoring / Fehler</t>
  </si>
  <si>
    <t xml:space="preserve">Abstürze im Feld erkennen</t>
  </si>
  <si>
    <t xml:space="preserve">Nein</t>
  </si>
  <si>
    <t xml:space="preserve">Qualität der öffentlichen Beta</t>
  </si>
  <si>
    <t xml:space="preserve">Fehler bleiben unbemerkt</t>
  </si>
  <si>
    <t xml:space="preserve">Sentry (Developer frei: 5 000 Fehler, 1 Nutzer; Team 26 $/Monat jährlich)</t>
  </si>
  <si>
    <t xml:space="preserve">GlitchTip selbst gehostet</t>
  </si>
  <si>
    <t xml:space="preserve">0 $ bzw. 26–29 $/Monat</t>
  </si>
  <si>
    <t xml:space="preserve">Datenschutz &amp; Sicherheit</t>
  </si>
  <si>
    <t xml:space="preserve">DSGVO, RLS, Schlüsselverwaltung</t>
  </si>
  <si>
    <t xml:space="preserve">Teilweise – RLS je Tabelle, nur öffentlicher Schlüssel in der App, Datenschutzseite</t>
  </si>
  <si>
    <t xml:space="preserve">Konto, Community</t>
  </si>
  <si>
    <t xml:space="preserve">Kein öffentlicher Start möglich</t>
  </si>
  <si>
    <t xml:space="preserve">Datenschutzerklärung, AV-Vertrag mit Supabase/Brevo, Impressum (falls öffentlich), Löschkonzept</t>
  </si>
  <si>
    <t xml:space="preserve">externe Rechtsberatung</t>
  </si>
  <si>
    <t xml:space="preserve">Schätzung: einmalig 0–500 € (Generator bis Anwalt) [A]</t>
  </si>
  <si>
    <t xml:space="preserve">App-Stores (optional)</t>
  </si>
  <si>
    <t xml:space="preserve">Native Apps, Hintergrund-GPS, Push</t>
  </si>
  <si>
    <t xml:space="preserve">Hintergrund-Route</t>
  </si>
  <si>
    <t xml:space="preserve">Route nur bei offener App</t>
  </si>
  <si>
    <t xml:space="preserve">Erst bei klarem Bedarf (Capacitor-Hülle)</t>
  </si>
  <si>
    <t xml:space="preserve">PWA bleibt</t>
  </si>
  <si>
    <t xml:space="preserve">Kostenrechnung je Monat (netto, ohne Arbeitszeit) – blaue Zahlen sind Eingaben</t>
  </si>
  <si>
    <t xml:space="preserve">EUR je USD (EZB 29.10.2026: 1 EUR = 1,1130 USD)</t>
  </si>
  <si>
    <t xml:space="preserve">Umsatzsteuer-Satz für Brutto-Schätzung</t>
  </si>
  <si>
    <t xml:space="preserve">Position</t>
  </si>
  <si>
    <t xml:space="preserve">Anbieter</t>
  </si>
  <si>
    <t xml:space="preserve">Leistung</t>
  </si>
  <si>
    <t xml:space="preserve">Währung</t>
  </si>
  <si>
    <t xml:space="preserve">S1 (Original)</t>
  </si>
  <si>
    <t xml:space="preserve">S2 (Original)</t>
  </si>
  <si>
    <t xml:space="preserve">S3 (Original)</t>
  </si>
  <si>
    <t xml:space="preserve">S1 €/Monat</t>
  </si>
  <si>
    <t xml:space="preserve">S2 €/Monat</t>
  </si>
  <si>
    <t xml:space="preserve">S3 €/Monat</t>
  </si>
  <si>
    <t xml:space="preserve">Art</t>
  </si>
  <si>
    <t xml:space="preserve">Grundlage (Abruf 30.10.2026)</t>
  </si>
  <si>
    <t xml:space="preserve">Hosting App + Gewässerdaten</t>
  </si>
  <si>
    <t xml:space="preserve">GitHub Pages</t>
  </si>
  <si>
    <t xml:space="preserve">1 GB Seite, 100 GB/Monat (weiche Grenze)</t>
  </si>
  <si>
    <t xml:space="preserve">EUR</t>
  </si>
  <si>
    <t xml:space="preserve">Preis</t>
  </si>
  <si>
    <t xml:space="preserve">docs.github.com – GitHub Pages limits</t>
  </si>
  <si>
    <t xml:space="preserve">Backend, DB, Auth, Storage</t>
  </si>
  <si>
    <t xml:space="preserve">Supabase</t>
  </si>
  <si>
    <t xml:space="preserve">S1 Free; S2/S3 Pro (inkl. 10 $ Compute-Guthaben)</t>
  </si>
  <si>
    <t xml:space="preserve">USD</t>
  </si>
  <si>
    <t xml:space="preserve">supabase.com/pricing</t>
  </si>
  <si>
    <t xml:space="preserve">Compute-Upgrade Small</t>
  </si>
  <si>
    <t xml:space="preserve">2 GB RAM (~15 $) minus 10 $ Guthaben</t>
  </si>
  <si>
    <t xml:space="preserve">Schätzung (Bedarf)</t>
  </si>
  <si>
    <t xml:space="preserve">supabase.com/docs – Compute</t>
  </si>
  <si>
    <t xml:space="preserve">Datentransfer über 250 GB</t>
  </si>
  <si>
    <t xml:space="preserve">Annahme 500 GB/Monat → 250 GB × 0,09 $</t>
  </si>
  <si>
    <t xml:space="preserve">Schätzung (Menge)</t>
  </si>
  <si>
    <t xml:space="preserve">E-Mail-Versand (Anmeldecodes)</t>
  </si>
  <si>
    <t xml:space="preserve">Brevo</t>
  </si>
  <si>
    <t xml:space="preserve">S1/S2 Free (300/Tag); S3 Starter</t>
  </si>
  <si>
    <t xml:space="preserve">S3: Schätzung (Drittquellen)</t>
  </si>
  <si>
    <t xml:space="preserve">brevo.com/pricing; Drittquellen (Sender, TechRadar)</t>
  </si>
  <si>
    <t xml:space="preserve">Domain fangpunkt.app</t>
  </si>
  <si>
    <t xml:space="preserve">INWX</t>
  </si>
  <si>
    <t xml:space="preserve">20,10 €/Jahr</t>
  </si>
  <si>
    <t xml:space="preserve">Preis (Verlängerung ungeprüft)</t>
  </si>
  <si>
    <t xml:space="preserve">inwx.de/app-domain</t>
  </si>
  <si>
    <t xml:space="preserve">Sentry</t>
  </si>
  <si>
    <t xml:space="preserve">S1/S2 Developer frei; S3 Team (jährliche Zahlung)</t>
  </si>
  <si>
    <t xml:space="preserve">sentry.io/pricing</t>
  </si>
  <si>
    <t xml:space="preserve">Wetter / Warnungen / Pegel</t>
  </si>
  <si>
    <t xml:space="preserve">Open-Meteo, Bright Sky, PEGELONLINE</t>
  </si>
  <si>
    <t xml:space="preserve">Nicht-kommerziell kostenlos</t>
  </si>
  <si>
    <t xml:space="preserve">open-meteo.com/en/pricing</t>
  </si>
  <si>
    <t xml:space="preserve">Basiskarte</t>
  </si>
  <si>
    <t xml:space="preserve">OpenFreeMap</t>
  </si>
  <si>
    <t xml:space="preserve">kostenlos, ohne Garantie</t>
  </si>
  <si>
    <t xml:space="preserve">openfreemap.org</t>
  </si>
  <si>
    <t xml:space="preserve">Summe pro Monat (netto)</t>
  </si>
  <si>
    <t xml:space="preserve">davon variabel/geschätzt (Compute, Transfer, Mail S3)</t>
  </si>
  <si>
    <t xml:space="preserve">davon fix</t>
  </si>
  <si>
    <t xml:space="preserve">Summe pro Jahr (netto)</t>
  </si>
  <si>
    <t xml:space="preserve">Summe pro Jahr (brutto, Schätzung)</t>
  </si>
  <si>
    <t xml:space="preserve">Einmalig: Rechtstexte (Schätzung 0–500 €), Arbeitszeit nicht enthalten</t>
  </si>
  <si>
    <t xml:space="preserve">Szenarien – Annahmen und Risiken</t>
  </si>
  <si>
    <t xml:space="preserve">Szenario</t>
  </si>
  <si>
    <t xml:space="preserve">Nutzer</t>
  </si>
  <si>
    <t xml:space="preserve">Annahmen [A]</t>
  </si>
  <si>
    <t xml:space="preserve">Risiken</t>
  </si>
  <si>
    <t xml:space="preserve">Szenario 1 – Minimaler Start</t>
  </si>
  <si>
    <t xml:space="preserve">50 registrierte Nutzer, geschlossene Testgruppe</t>
  </si>
  <si>
    <t xml:space="preserve">≈ 30 aktive/Monat, &lt; 100 Mails/Monat, &lt; 1 GB Fotos [A]</t>
  </si>
  <si>
    <t xml:space="preserve">Supabase Free pausiert nach 1 Woche ohne Aktivität; keine automatischen Backups; Brevo-Logo in Mails</t>
  </si>
  <si>
    <t xml:space="preserve">Szenario 2 – Öffentliche Beta</t>
  </si>
  <si>
    <t xml:space="preserve">500 registrierte Nutzer</t>
  </si>
  <si>
    <t xml:space="preserve">≈ 300 aktive/Monat, ≈ 1 500 Mails/Monat (&lt; 300/Tag), ≈ 3 GB Fotos, &lt; 50 GB Transfer [A]</t>
  </si>
  <si>
    <t xml:space="preserve">Datenschutzerklärung/Impressum nötig; GitHub Pages nur nicht-kommerziell; Mail-Spitzen &gt; 300/Tag</t>
  </si>
  <si>
    <t xml:space="preserve">Szenario 3 – Wachstum</t>
  </si>
  <si>
    <t xml:space="preserve">5 000 registrierte Nutzer</t>
  </si>
  <si>
    <t xml:space="preserve">≈ 2 000 aktive/Monat, ≈ 10 000 Mails/Monat, ≈ 30 GB Fotos, ≈ 500 GB Transfer [A]</t>
  </si>
  <si>
    <t xml:space="preserve">Transfer ist der größte variable Posten; bei Kommerzialisierung Wetter-Abo und anderes Hosting nötig</t>
  </si>
  <si>
    <t xml:space="preserve">Optionale Posten (nicht in den Summen)</t>
  </si>
  <si>
    <t xml:space="preserve">Apple Developer Program</t>
  </si>
  <si>
    <t xml:space="preserve">Apple</t>
  </si>
  <si>
    <t xml:space="preserve">99 $/Jahr</t>
  </si>
  <si>
    <t xml:space="preserve">developer.apple.com/programs</t>
  </si>
  <si>
    <t xml:space="preserve">Google Play Konto</t>
  </si>
  <si>
    <t xml:space="preserve">Google</t>
  </si>
  <si>
    <t xml:space="preserve">25 $ einmalig</t>
  </si>
  <si>
    <t xml:space="preserve">support.google.com/googleplay/android-developer/answer/6112435</t>
  </si>
  <si>
    <t xml:space="preserve">Point-in-Time-Recovery</t>
  </si>
  <si>
    <t xml:space="preserve">100 $/Monat je 7 Tage</t>
  </si>
  <si>
    <t xml:space="preserve">Open-Meteo Standard (kommerziell)</t>
  </si>
  <si>
    <t xml:space="preserve">Open-Meteo</t>
  </si>
  <si>
    <t xml:space="preserve">ca. 29 $/Monat, 1 Mio. Aufrufe, ohne Historical-API [Drittquellen]</t>
  </si>
  <si>
    <t xml:space="preserve">Hetzner Cloud CPX02 (Alternative)</t>
  </si>
  <si>
    <t xml:space="preserve">Hetzner</t>
  </si>
  <si>
    <t xml:space="preserve">6,49 €/Monat netto inkl. IPv4</t>
  </si>
  <si>
    <t xml:space="preserve">hetzner.com/cloud/regular-performance</t>
  </si>
  <si>
    <t xml:space="preserve">Quelle</t>
  </si>
  <si>
    <t xml:space="preserve">Link</t>
  </si>
  <si>
    <t xml:space="preserve">Abgerufen</t>
  </si>
  <si>
    <t xml:space="preserve">Supabase Pricing</t>
  </si>
  <si>
    <t xml:space="preserve">https://supabase.com/pricing</t>
  </si>
  <si>
    <t xml:space="preserve">30.10.2026</t>
  </si>
  <si>
    <t xml:space="preserve">Supabase Compute</t>
  </si>
  <si>
    <t xml:space="preserve">https://supabase.com/docs/guides/platform/compute-and-disk</t>
  </si>
  <si>
    <t xml:space="preserve">Brevo Pricing (Free 300 Mails/Tag)</t>
  </si>
  <si>
    <t xml:space="preserve">https://www.brevo.com/pricing/</t>
  </si>
  <si>
    <t xml:space="preserve">Brevo Starter-Preis (Drittquelle)</t>
  </si>
  <si>
    <t xml:space="preserve">https://www.sender.net/reviews/brevo/pricing/</t>
  </si>
  <si>
    <t xml:space="preserve">Resend Pricing</t>
  </si>
  <si>
    <t xml:space="preserve">https://resend.com/pricing</t>
  </si>
  <si>
    <t xml:space="preserve">Sentry Pricing</t>
  </si>
  <si>
    <t xml:space="preserve">https://sentry.io/pricing/</t>
  </si>
  <si>
    <t xml:space="preserve">Open-Meteo Pricing/Terms</t>
  </si>
  <si>
    <t xml:space="preserve">https://open-meteo.com/en/pricing</t>
  </si>
  <si>
    <t xml:space="preserve">Open-Meteo Abo-Preis (Blog)</t>
  </si>
  <si>
    <t xml:space="preserve">https://openmeteo.substack.com/p/api-subscriptions-for-commercial</t>
  </si>
  <si>
    <t xml:space="preserve">Cloudflare R2 Pricing</t>
  </si>
  <si>
    <t xml:space="preserve">https://developers.cloudflare.com/r2/pricing/</t>
  </si>
  <si>
    <t xml:space="preserve">Cloudflare Pages Limits</t>
  </si>
  <si>
    <t xml:space="preserve">https://developers.cloudflare.com/pages/platform/limits/</t>
  </si>
  <si>
    <t xml:space="preserve">GitHub Pages Limits</t>
  </si>
  <si>
    <t xml:space="preserve">https://docs.github.com/en/pages/getting-started-with-github-pages/github-pages-limits</t>
  </si>
  <si>
    <t xml:space="preserve">Hetzner Cloud Regular Performance</t>
  </si>
  <si>
    <t xml:space="preserve">https://www.hetzner.com/cloud/regular-performance/</t>
  </si>
  <si>
    <t xml:space="preserve">INWX .app-Domain</t>
  </si>
  <si>
    <t xml:space="preserve">https://www.inwx.de/app-domain</t>
  </si>
  <si>
    <t xml:space="preserve">https://developer.apple.com/programs/</t>
  </si>
  <si>
    <t xml:space="preserve">Google Play Registrierung</t>
  </si>
  <si>
    <t xml:space="preserve">https://support.google.com/googleplay/android-developer/answer/6112435</t>
  </si>
  <si>
    <t xml:space="preserve">EZB-Referenzkurse</t>
  </si>
  <si>
    <t xml:space="preserve">https://www.ecb.europa.eu/stats/policy_and_exchange_rates/euro_reference_exchange_rates/html/index.en.html</t>
  </si>
  <si>
    <t xml:space="preserve">Video</t>
  </si>
  <si>
    <t xml:space="preserve">Inhalt</t>
  </si>
  <si>
    <t xml:space="preserve">Folie</t>
  </si>
  <si>
    <t xml:space="preserve">Fangpunkt_Video_01_Gewaesserkarte.mp4</t>
  </si>
  <si>
    <t xml:space="preserve">Karte, Fänge, Heatmap, Gewässerprofil, Angelkarte</t>
  </si>
  <si>
    <t xml:space="preserve">Fangpunkt_Video_02_Fang_erfassen.mp4</t>
  </si>
  <si>
    <t xml:space="preserve">Fang erfassen inkl. Rechts-Warnung (Hecht 38 cm)</t>
  </si>
  <si>
    <t xml:space="preserve">Fangpunkt_Video_03_Session_Route.mp4</t>
  </si>
  <si>
    <t xml:space="preserve">Session mit live aufgezeichneter GPS-Route (simulierte Positionen, Zeitraffer)</t>
  </si>
  <si>
    <t xml:space="preserve">Fangpunkt_Video_04_Session_Rueckblick.mp4</t>
  </si>
  <si>
    <t xml:space="preserve">Rückblick einer Session mit Route</t>
  </si>
  <si>
    <t xml:space="preserve">Fangpunkt_Video_05_Fangbuch_Statistik.mp4</t>
  </si>
  <si>
    <t xml:space="preserve">Fangbuch und Statistik mit Filter</t>
  </si>
  <si>
    <t xml:space="preserve">Fangpunkt_Video_06_Wetter_Kalender.mp4</t>
  </si>
  <si>
    <t xml:space="preserve">Warnungen, Vorhersage, Beißfenster, Angelkalender</t>
  </si>
  <si>
    <t xml:space="preserve">Fangpunkt_Video_07_Fischereirecht.mp4</t>
  </si>
  <si>
    <t xml:space="preserve">Angelrecht der Länder, NRW, Artsuche, Schonzeit-Filter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</si>
</sst>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0"/>
    <numFmt numFmtId="166" formatCode="0%"/>
    <numFmt numFmtId="167" formatCode="#,##0.00"/>
    <numFmt numFmtId="168" formatCode="#,##0.00&quot; €&quot;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2"/>
    </font>
    <font>
      <u val="single"/>
      <sz val="11"/>
      <color rgb="FF1F6FB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23C34"/>
        <bgColor rgb="FF003366"/>
      </patternFill>
    </fill>
    <fill>
      <patternFill patternType="solid">
        <fgColor rgb="FFD7F0DF"/>
        <bgColor rgb="FFCCFFFF"/>
      </patternFill>
    </fill>
    <fill>
      <patternFill patternType="solid">
        <fgColor rgb="FFFFF1C7"/>
        <bgColor rgb="FFFFFF99"/>
      </patternFill>
    </fill>
    <fill>
      <patternFill patternType="solid">
        <fgColor rgb="FFF8D9D5"/>
        <bgColor rgb="FFFFF1C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A"/>
      </left>
      <right style="thin">
        <color rgb="FFD0D7DA"/>
      </right>
      <top style="thin">
        <color rgb="FFD0D7DA"/>
      </top>
      <bottom style="thin">
        <color rgb="FFD0D7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23C3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7F0DF"/>
          <bgColor rgb="FF000000"/>
        </patternFill>
      </fill>
    </dxf>
    <dxf>
      <fill>
        <patternFill patternType="solid">
          <fgColor rgb="FFF8D9D5"/>
          <bgColor rgb="FF000000"/>
        </patternFill>
      </fill>
    </dxf>
    <dxf>
      <fill>
        <patternFill patternType="solid">
          <fgColor rgb="FFFFF1C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1C7"/>
      <rgbColor rgb="FFCCFFFF"/>
      <rgbColor rgb="FF660066"/>
      <rgbColor rgb="FFFF8080"/>
      <rgbColor rgb="FF1F6FB2"/>
      <rgbColor rgb="FFD0D7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F0DF"/>
      <rgbColor rgb="FFFFFF99"/>
      <rgbColor rgb="FF99CCFF"/>
      <rgbColor rgb="FFFF99CC"/>
      <rgbColor rgb="FFCC99FF"/>
      <rgbColor rgb="FFF8D9D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23C3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supabase.com/pricing" TargetMode="External"/><Relationship Id="rId2" Type="http://schemas.openxmlformats.org/officeDocument/2006/relationships/hyperlink" Target="https://supabase.com/docs/guides/platform/compute-and-disk" TargetMode="External"/><Relationship Id="rId3" Type="http://schemas.openxmlformats.org/officeDocument/2006/relationships/hyperlink" Target="https://www.brevo.com/pricing/" TargetMode="External"/><Relationship Id="rId4" Type="http://schemas.openxmlformats.org/officeDocument/2006/relationships/hyperlink" Target="https://www.sender.net/reviews/brevo/pricing/" TargetMode="External"/><Relationship Id="rId5" Type="http://schemas.openxmlformats.org/officeDocument/2006/relationships/hyperlink" Target="https://resend.com/pricing" TargetMode="External"/><Relationship Id="rId6" Type="http://schemas.openxmlformats.org/officeDocument/2006/relationships/hyperlink" Target="https://sentry.io/pricing/" TargetMode="External"/><Relationship Id="rId7" Type="http://schemas.openxmlformats.org/officeDocument/2006/relationships/hyperlink" Target="https://open-meteo.com/en/pricing" TargetMode="External"/><Relationship Id="rId8" Type="http://schemas.openxmlformats.org/officeDocument/2006/relationships/hyperlink" Target="https://openmeteo.substack.com/p/api-subscriptions-for-commercial" TargetMode="External"/><Relationship Id="rId9" Type="http://schemas.openxmlformats.org/officeDocument/2006/relationships/hyperlink" Target="https://developers.cloudflare.com/r2/pricing/" TargetMode="External"/><Relationship Id="rId10" Type="http://schemas.openxmlformats.org/officeDocument/2006/relationships/hyperlink" Target="https://developers.cloudflare.com/pages/platform/limits/" TargetMode="External"/><Relationship Id="rId11" Type="http://schemas.openxmlformats.org/officeDocument/2006/relationships/hyperlink" Target="https://docs.github.com/en/pages/getting-started-with-github-pages/github-pages-limits" TargetMode="External"/><Relationship Id="rId12" Type="http://schemas.openxmlformats.org/officeDocument/2006/relationships/hyperlink" Target="https://www.hetzner.com/cloud/regular-performance/" TargetMode="External"/><Relationship Id="rId13" Type="http://schemas.openxmlformats.org/officeDocument/2006/relationships/hyperlink" Target="https://www.inwx.de/app-domain" TargetMode="External"/><Relationship Id="rId14" Type="http://schemas.openxmlformats.org/officeDocument/2006/relationships/hyperlink" Target="https://developer.apple.com/programs/" TargetMode="External"/><Relationship Id="rId15" Type="http://schemas.openxmlformats.org/officeDocument/2006/relationships/hyperlink" Target="https://support.google.com/googleplay/android-developer/answer/6112435" TargetMode="External"/><Relationship Id="rId16" Type="http://schemas.openxmlformats.org/officeDocument/2006/relationships/hyperlink" Target="https://www.ecb.europa.eu/stats/policy_and_exchange_rates/euro_reference_exchange_rates/html/index.en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11"/>
    <col collapsed="false" customWidth="true" hidden="false" outlineLevel="0" max="4" min="4" style="0" width="22"/>
    <col collapsed="false" customWidth="true" hidden="false" outlineLevel="0" max="5" min="5" style="0" width="48"/>
    <col collapsed="false" customWidth="true" hidden="false" outlineLevel="0" max="6" min="6" style="0" width="40"/>
    <col collapsed="false" customWidth="true" hidden="false" outlineLevel="0" max="8" min="7" style="0" width="32"/>
    <col collapsed="false" customWidth="true" hidden="false" outlineLevel="0" max="9" min="9" style="0" width="3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26.85" hidden="false" customHeight="false" outlineLevel="0" collapsed="false">
      <c r="A5" s="4" t="s">
        <v>11</v>
      </c>
      <c r="B5" s="5" t="s">
        <v>12</v>
      </c>
      <c r="C5" s="6" t="s">
        <v>13</v>
      </c>
      <c r="D5" s="4" t="s">
        <v>14</v>
      </c>
      <c r="E5" s="4" t="s">
        <v>15</v>
      </c>
      <c r="F5" s="4" t="s">
        <v>16</v>
      </c>
      <c r="G5" s="4" t="s">
        <v>17</v>
      </c>
      <c r="H5" s="4" t="s">
        <v>18</v>
      </c>
      <c r="I5" s="4" t="s">
        <v>19</v>
      </c>
    </row>
    <row r="6" customFormat="false" ht="39.55" hidden="false" customHeight="false" outlineLevel="0" collapsed="false">
      <c r="A6" s="4" t="s">
        <v>11</v>
      </c>
      <c r="B6" s="5" t="s">
        <v>20</v>
      </c>
      <c r="C6" s="6" t="s">
        <v>13</v>
      </c>
      <c r="D6" s="4" t="s">
        <v>14</v>
      </c>
      <c r="E6" s="4" t="s">
        <v>21</v>
      </c>
      <c r="F6" s="4" t="s">
        <v>22</v>
      </c>
      <c r="G6" s="4" t="s">
        <v>23</v>
      </c>
      <c r="H6" s="4" t="s">
        <v>24</v>
      </c>
      <c r="I6" s="4" t="s">
        <v>25</v>
      </c>
    </row>
    <row r="7" customFormat="false" ht="26.85" hidden="false" customHeight="false" outlineLevel="0" collapsed="false">
      <c r="A7" s="4" t="s">
        <v>11</v>
      </c>
      <c r="B7" s="5" t="s">
        <v>26</v>
      </c>
      <c r="C7" s="6" t="s">
        <v>13</v>
      </c>
      <c r="D7" s="4" t="s">
        <v>14</v>
      </c>
      <c r="E7" s="4" t="s">
        <v>27</v>
      </c>
      <c r="F7" s="4" t="s">
        <v>28</v>
      </c>
      <c r="G7" s="4" t="s">
        <v>29</v>
      </c>
      <c r="H7" s="4" t="s">
        <v>30</v>
      </c>
      <c r="I7" s="4" t="s">
        <v>31</v>
      </c>
    </row>
    <row r="8" customFormat="false" ht="39.55" hidden="false" customHeight="false" outlineLevel="0" collapsed="false">
      <c r="A8" s="4" t="s">
        <v>11</v>
      </c>
      <c r="B8" s="5" t="s">
        <v>32</v>
      </c>
      <c r="C8" s="6" t="s">
        <v>13</v>
      </c>
      <c r="D8" s="4" t="s">
        <v>14</v>
      </c>
      <c r="E8" s="4" t="s">
        <v>33</v>
      </c>
      <c r="F8" s="4" t="s">
        <v>34</v>
      </c>
      <c r="G8" s="4" t="s">
        <v>35</v>
      </c>
      <c r="H8" s="4" t="s">
        <v>28</v>
      </c>
      <c r="I8" s="4" t="s">
        <v>36</v>
      </c>
    </row>
    <row r="9" customFormat="false" ht="15" hidden="false" customHeight="false" outlineLevel="0" collapsed="false">
      <c r="A9" s="4" t="s">
        <v>11</v>
      </c>
      <c r="B9" s="5" t="s">
        <v>37</v>
      </c>
      <c r="C9" s="6" t="s">
        <v>13</v>
      </c>
      <c r="D9" s="4" t="s">
        <v>14</v>
      </c>
      <c r="E9" s="4" t="s">
        <v>38</v>
      </c>
      <c r="F9" s="4" t="s">
        <v>28</v>
      </c>
      <c r="G9" s="4" t="s">
        <v>39</v>
      </c>
      <c r="H9" s="4" t="s">
        <v>28</v>
      </c>
      <c r="I9" s="4" t="s">
        <v>40</v>
      </c>
    </row>
    <row r="10" customFormat="false" ht="52.2" hidden="false" customHeight="false" outlineLevel="0" collapsed="false">
      <c r="A10" s="4" t="s">
        <v>11</v>
      </c>
      <c r="B10" s="5" t="s">
        <v>41</v>
      </c>
      <c r="C10" s="7" t="s">
        <v>42</v>
      </c>
      <c r="D10" s="4" t="s">
        <v>43</v>
      </c>
      <c r="E10" s="4" t="s">
        <v>44</v>
      </c>
      <c r="F10" s="4" t="s">
        <v>45</v>
      </c>
      <c r="G10" s="4" t="s">
        <v>46</v>
      </c>
      <c r="H10" s="4" t="s">
        <v>47</v>
      </c>
      <c r="I10" s="4" t="s">
        <v>48</v>
      </c>
    </row>
    <row r="11" customFormat="false" ht="39.55" hidden="false" customHeight="false" outlineLevel="0" collapsed="false">
      <c r="A11" s="4" t="s">
        <v>11</v>
      </c>
      <c r="B11" s="5" t="s">
        <v>49</v>
      </c>
      <c r="C11" s="8" t="s">
        <v>50</v>
      </c>
      <c r="D11" s="4" t="s">
        <v>51</v>
      </c>
      <c r="E11" s="4" t="s">
        <v>52</v>
      </c>
      <c r="F11" s="4" t="s">
        <v>53</v>
      </c>
      <c r="G11" s="4" t="s">
        <v>54</v>
      </c>
      <c r="H11" s="4" t="s">
        <v>55</v>
      </c>
      <c r="I11" s="4" t="s">
        <v>56</v>
      </c>
    </row>
    <row r="12" customFormat="false" ht="26.85" hidden="false" customHeight="false" outlineLevel="0" collapsed="false">
      <c r="A12" s="4" t="s">
        <v>11</v>
      </c>
      <c r="B12" s="5" t="s">
        <v>57</v>
      </c>
      <c r="C12" s="8" t="s">
        <v>50</v>
      </c>
      <c r="D12" s="4" t="s">
        <v>58</v>
      </c>
      <c r="E12" s="4" t="s">
        <v>59</v>
      </c>
      <c r="F12" s="4" t="s">
        <v>60</v>
      </c>
      <c r="G12" s="4" t="s">
        <v>61</v>
      </c>
      <c r="H12" s="4" t="s">
        <v>62</v>
      </c>
      <c r="I12" s="4" t="s">
        <v>63</v>
      </c>
    </row>
    <row r="13" customFormat="false" ht="39.55" hidden="false" customHeight="false" outlineLevel="0" collapsed="false">
      <c r="A13" s="4" t="s">
        <v>64</v>
      </c>
      <c r="B13" s="5" t="s">
        <v>65</v>
      </c>
      <c r="C13" s="6" t="s">
        <v>13</v>
      </c>
      <c r="D13" s="4" t="s">
        <v>14</v>
      </c>
      <c r="E13" s="4" t="s">
        <v>66</v>
      </c>
      <c r="F13" s="4" t="s">
        <v>28</v>
      </c>
      <c r="G13" s="4" t="s">
        <v>39</v>
      </c>
      <c r="H13" s="4" t="s">
        <v>28</v>
      </c>
      <c r="I13" s="4" t="s">
        <v>67</v>
      </c>
    </row>
    <row r="14" customFormat="false" ht="26.85" hidden="false" customHeight="false" outlineLevel="0" collapsed="false">
      <c r="A14" s="4" t="s">
        <v>64</v>
      </c>
      <c r="B14" s="5" t="s">
        <v>68</v>
      </c>
      <c r="C14" s="6" t="s">
        <v>13</v>
      </c>
      <c r="D14" s="4" t="s">
        <v>14</v>
      </c>
      <c r="E14" s="4" t="s">
        <v>69</v>
      </c>
      <c r="F14" s="4" t="s">
        <v>70</v>
      </c>
      <c r="G14" s="4" t="s">
        <v>39</v>
      </c>
      <c r="H14" s="4" t="s">
        <v>28</v>
      </c>
      <c r="I14" s="4" t="s">
        <v>71</v>
      </c>
    </row>
    <row r="15" customFormat="false" ht="39.55" hidden="false" customHeight="false" outlineLevel="0" collapsed="false">
      <c r="A15" s="4" t="s">
        <v>64</v>
      </c>
      <c r="B15" s="5" t="s">
        <v>72</v>
      </c>
      <c r="C15" s="6" t="s">
        <v>13</v>
      </c>
      <c r="D15" s="4" t="s">
        <v>14</v>
      </c>
      <c r="E15" s="4" t="s">
        <v>73</v>
      </c>
      <c r="F15" s="4" t="s">
        <v>28</v>
      </c>
      <c r="G15" s="4" t="s">
        <v>39</v>
      </c>
      <c r="H15" s="4" t="s">
        <v>28</v>
      </c>
      <c r="I15" s="4" t="s">
        <v>74</v>
      </c>
    </row>
    <row r="16" customFormat="false" ht="26.85" hidden="false" customHeight="false" outlineLevel="0" collapsed="false">
      <c r="A16" s="4" t="s">
        <v>64</v>
      </c>
      <c r="B16" s="5" t="s">
        <v>75</v>
      </c>
      <c r="C16" s="6" t="s">
        <v>13</v>
      </c>
      <c r="D16" s="4" t="s">
        <v>14</v>
      </c>
      <c r="E16" s="4" t="s">
        <v>76</v>
      </c>
      <c r="F16" s="4" t="s">
        <v>77</v>
      </c>
      <c r="G16" s="4" t="s">
        <v>78</v>
      </c>
      <c r="H16" s="4" t="s">
        <v>28</v>
      </c>
      <c r="I16" s="4" t="s">
        <v>79</v>
      </c>
    </row>
    <row r="17" customFormat="false" ht="52.2" hidden="false" customHeight="false" outlineLevel="0" collapsed="false">
      <c r="A17" s="4" t="s">
        <v>64</v>
      </c>
      <c r="B17" s="5" t="s">
        <v>80</v>
      </c>
      <c r="C17" s="6" t="s">
        <v>13</v>
      </c>
      <c r="D17" s="4" t="s">
        <v>14</v>
      </c>
      <c r="E17" s="4" t="s">
        <v>81</v>
      </c>
      <c r="F17" s="4" t="s">
        <v>82</v>
      </c>
      <c r="G17" s="4" t="s">
        <v>83</v>
      </c>
      <c r="H17" s="4" t="s">
        <v>84</v>
      </c>
      <c r="I17" s="4" t="s">
        <v>85</v>
      </c>
    </row>
    <row r="18" customFormat="false" ht="39.55" hidden="false" customHeight="false" outlineLevel="0" collapsed="false">
      <c r="A18" s="4" t="s">
        <v>64</v>
      </c>
      <c r="B18" s="5" t="s">
        <v>86</v>
      </c>
      <c r="C18" s="6" t="s">
        <v>13</v>
      </c>
      <c r="D18" s="4" t="s">
        <v>14</v>
      </c>
      <c r="E18" s="4" t="s">
        <v>87</v>
      </c>
      <c r="F18" s="4" t="s">
        <v>28</v>
      </c>
      <c r="G18" s="4" t="s">
        <v>39</v>
      </c>
      <c r="H18" s="4" t="s">
        <v>28</v>
      </c>
      <c r="I18" s="4" t="s">
        <v>88</v>
      </c>
    </row>
    <row r="19" customFormat="false" ht="26.85" hidden="false" customHeight="false" outlineLevel="0" collapsed="false">
      <c r="A19" s="4" t="s">
        <v>64</v>
      </c>
      <c r="B19" s="5" t="s">
        <v>89</v>
      </c>
      <c r="C19" s="6" t="s">
        <v>13</v>
      </c>
      <c r="D19" s="4" t="s">
        <v>14</v>
      </c>
      <c r="E19" s="4" t="s">
        <v>90</v>
      </c>
      <c r="F19" s="4" t="s">
        <v>28</v>
      </c>
      <c r="G19" s="4" t="s">
        <v>39</v>
      </c>
      <c r="H19" s="4" t="s">
        <v>28</v>
      </c>
      <c r="I19" s="4" t="s">
        <v>91</v>
      </c>
    </row>
    <row r="20" customFormat="false" ht="26.85" hidden="false" customHeight="false" outlineLevel="0" collapsed="false">
      <c r="A20" s="4" t="s">
        <v>92</v>
      </c>
      <c r="B20" s="5" t="s">
        <v>93</v>
      </c>
      <c r="C20" s="6" t="s">
        <v>13</v>
      </c>
      <c r="D20" s="4" t="s">
        <v>14</v>
      </c>
      <c r="E20" s="4" t="s">
        <v>94</v>
      </c>
      <c r="F20" s="4" t="s">
        <v>28</v>
      </c>
      <c r="G20" s="4" t="s">
        <v>39</v>
      </c>
      <c r="H20" s="4" t="s">
        <v>28</v>
      </c>
      <c r="I20" s="4" t="s">
        <v>95</v>
      </c>
    </row>
    <row r="21" customFormat="false" ht="39.55" hidden="false" customHeight="false" outlineLevel="0" collapsed="false">
      <c r="A21" s="4" t="s">
        <v>92</v>
      </c>
      <c r="B21" s="5" t="s">
        <v>96</v>
      </c>
      <c r="C21" s="6" t="s">
        <v>13</v>
      </c>
      <c r="D21" s="4" t="s">
        <v>14</v>
      </c>
      <c r="E21" s="4" t="s">
        <v>97</v>
      </c>
      <c r="F21" s="4" t="s">
        <v>98</v>
      </c>
      <c r="G21" s="4" t="s">
        <v>29</v>
      </c>
      <c r="H21" s="4" t="s">
        <v>28</v>
      </c>
      <c r="I21" s="4" t="s">
        <v>99</v>
      </c>
    </row>
    <row r="22" customFormat="false" ht="26.85" hidden="false" customHeight="false" outlineLevel="0" collapsed="false">
      <c r="A22" s="4" t="s">
        <v>92</v>
      </c>
      <c r="B22" s="5" t="s">
        <v>100</v>
      </c>
      <c r="C22" s="8" t="s">
        <v>50</v>
      </c>
      <c r="D22" s="4" t="s">
        <v>51</v>
      </c>
      <c r="E22" s="4" t="s">
        <v>28</v>
      </c>
      <c r="F22" s="4" t="s">
        <v>101</v>
      </c>
      <c r="G22" s="4" t="s">
        <v>102</v>
      </c>
      <c r="H22" s="4" t="s">
        <v>103</v>
      </c>
      <c r="I22" s="4" t="s">
        <v>104</v>
      </c>
    </row>
    <row r="23" customFormat="false" ht="26.85" hidden="false" customHeight="false" outlineLevel="0" collapsed="false">
      <c r="A23" s="4" t="s">
        <v>105</v>
      </c>
      <c r="B23" s="5" t="s">
        <v>106</v>
      </c>
      <c r="C23" s="6" t="s">
        <v>13</v>
      </c>
      <c r="D23" s="4" t="s">
        <v>14</v>
      </c>
      <c r="E23" s="4" t="s">
        <v>107</v>
      </c>
      <c r="F23" s="4" t="s">
        <v>108</v>
      </c>
      <c r="G23" s="4" t="s">
        <v>109</v>
      </c>
      <c r="H23" s="4" t="s">
        <v>28</v>
      </c>
      <c r="I23" s="4" t="s">
        <v>110</v>
      </c>
    </row>
    <row r="24" customFormat="false" ht="26.85" hidden="false" customHeight="false" outlineLevel="0" collapsed="false">
      <c r="A24" s="4" t="s">
        <v>105</v>
      </c>
      <c r="B24" s="5" t="s">
        <v>111</v>
      </c>
      <c r="C24" s="6" t="s">
        <v>13</v>
      </c>
      <c r="D24" s="4" t="s">
        <v>14</v>
      </c>
      <c r="E24" s="4" t="s">
        <v>112</v>
      </c>
      <c r="F24" s="4" t="s">
        <v>113</v>
      </c>
      <c r="G24" s="4" t="s">
        <v>114</v>
      </c>
      <c r="H24" s="4" t="s">
        <v>115</v>
      </c>
      <c r="I24" s="4" t="s">
        <v>116</v>
      </c>
    </row>
    <row r="25" customFormat="false" ht="39.55" hidden="false" customHeight="false" outlineLevel="0" collapsed="false">
      <c r="A25" s="4" t="s">
        <v>105</v>
      </c>
      <c r="B25" s="5" t="s">
        <v>117</v>
      </c>
      <c r="C25" s="6" t="s">
        <v>13</v>
      </c>
      <c r="D25" s="4" t="s">
        <v>14</v>
      </c>
      <c r="E25" s="4" t="s">
        <v>118</v>
      </c>
      <c r="F25" s="4" t="s">
        <v>119</v>
      </c>
      <c r="G25" s="4" t="s">
        <v>39</v>
      </c>
      <c r="H25" s="4" t="s">
        <v>28</v>
      </c>
      <c r="I25" s="4" t="s">
        <v>120</v>
      </c>
    </row>
    <row r="26" customFormat="false" ht="26.85" hidden="false" customHeight="false" outlineLevel="0" collapsed="false">
      <c r="A26" s="4" t="s">
        <v>105</v>
      </c>
      <c r="B26" s="5" t="s">
        <v>121</v>
      </c>
      <c r="C26" s="7" t="s">
        <v>42</v>
      </c>
      <c r="D26" s="4" t="s">
        <v>122</v>
      </c>
      <c r="E26" s="4" t="s">
        <v>123</v>
      </c>
      <c r="F26" s="4" t="s">
        <v>124</v>
      </c>
      <c r="G26" s="4" t="s">
        <v>125</v>
      </c>
      <c r="H26" s="4" t="s">
        <v>126</v>
      </c>
      <c r="I26" s="4" t="s">
        <v>127</v>
      </c>
    </row>
    <row r="27" customFormat="false" ht="26.85" hidden="false" customHeight="false" outlineLevel="0" collapsed="false">
      <c r="A27" s="4" t="s">
        <v>105</v>
      </c>
      <c r="B27" s="5" t="s">
        <v>128</v>
      </c>
      <c r="C27" s="6" t="s">
        <v>13</v>
      </c>
      <c r="D27" s="4" t="s">
        <v>14</v>
      </c>
      <c r="E27" s="4" t="s">
        <v>129</v>
      </c>
      <c r="F27" s="4" t="s">
        <v>28</v>
      </c>
      <c r="G27" s="4" t="s">
        <v>39</v>
      </c>
      <c r="H27" s="4" t="s">
        <v>28</v>
      </c>
      <c r="I27" s="4" t="s">
        <v>130</v>
      </c>
    </row>
    <row r="28" customFormat="false" ht="64.9" hidden="false" customHeight="false" outlineLevel="0" collapsed="false">
      <c r="A28" s="4" t="s">
        <v>131</v>
      </c>
      <c r="B28" s="5" t="s">
        <v>132</v>
      </c>
      <c r="C28" s="7" t="s">
        <v>42</v>
      </c>
      <c r="D28" s="4" t="s">
        <v>43</v>
      </c>
      <c r="E28" s="4" t="s">
        <v>133</v>
      </c>
      <c r="F28" s="4" t="s">
        <v>134</v>
      </c>
      <c r="G28" s="4" t="s">
        <v>135</v>
      </c>
      <c r="H28" s="4" t="s">
        <v>136</v>
      </c>
      <c r="I28" s="4" t="s">
        <v>137</v>
      </c>
    </row>
    <row r="29" customFormat="false" ht="26.85" hidden="false" customHeight="false" outlineLevel="0" collapsed="false">
      <c r="A29" s="4" t="s">
        <v>131</v>
      </c>
      <c r="B29" s="5" t="s">
        <v>138</v>
      </c>
      <c r="C29" s="6" t="s">
        <v>13</v>
      </c>
      <c r="D29" s="4" t="s">
        <v>14</v>
      </c>
      <c r="E29" s="4" t="s">
        <v>139</v>
      </c>
      <c r="F29" s="4" t="s">
        <v>28</v>
      </c>
      <c r="G29" s="4" t="s">
        <v>39</v>
      </c>
      <c r="H29" s="4" t="s">
        <v>28</v>
      </c>
      <c r="I29" s="4" t="s">
        <v>140</v>
      </c>
    </row>
    <row r="30" customFormat="false" ht="26.85" hidden="false" customHeight="false" outlineLevel="0" collapsed="false">
      <c r="A30" s="4" t="s">
        <v>131</v>
      </c>
      <c r="B30" s="5" t="s">
        <v>141</v>
      </c>
      <c r="C30" s="6" t="s">
        <v>13</v>
      </c>
      <c r="D30" s="4" t="s">
        <v>14</v>
      </c>
      <c r="E30" s="4" t="s">
        <v>142</v>
      </c>
      <c r="F30" s="4" t="s">
        <v>28</v>
      </c>
      <c r="G30" s="4" t="s">
        <v>143</v>
      </c>
      <c r="H30" s="4" t="s">
        <v>28</v>
      </c>
      <c r="I30" s="4" t="s">
        <v>144</v>
      </c>
    </row>
    <row r="31" customFormat="false" ht="26.85" hidden="false" customHeight="false" outlineLevel="0" collapsed="false">
      <c r="A31" s="4" t="s">
        <v>131</v>
      </c>
      <c r="B31" s="5" t="s">
        <v>145</v>
      </c>
      <c r="C31" s="8" t="s">
        <v>50</v>
      </c>
      <c r="D31" s="4" t="s">
        <v>58</v>
      </c>
      <c r="E31" s="4" t="s">
        <v>146</v>
      </c>
      <c r="F31" s="4" t="s">
        <v>147</v>
      </c>
      <c r="G31" s="4" t="s">
        <v>148</v>
      </c>
      <c r="H31" s="4" t="s">
        <v>149</v>
      </c>
      <c r="I31" s="4" t="s">
        <v>150</v>
      </c>
    </row>
    <row r="32" customFormat="false" ht="26.85" hidden="false" customHeight="false" outlineLevel="0" collapsed="false">
      <c r="A32" s="4" t="s">
        <v>131</v>
      </c>
      <c r="B32" s="5" t="s">
        <v>151</v>
      </c>
      <c r="C32" s="8" t="s">
        <v>50</v>
      </c>
      <c r="D32" s="4" t="s">
        <v>58</v>
      </c>
      <c r="E32" s="4" t="s">
        <v>152</v>
      </c>
      <c r="F32" s="4" t="s">
        <v>153</v>
      </c>
      <c r="G32" s="4" t="s">
        <v>154</v>
      </c>
      <c r="H32" s="4" t="s">
        <v>155</v>
      </c>
      <c r="I32" s="4" t="s">
        <v>156</v>
      </c>
    </row>
    <row r="33" customFormat="false" ht="26.85" hidden="false" customHeight="false" outlineLevel="0" collapsed="false">
      <c r="A33" s="4" t="s">
        <v>157</v>
      </c>
      <c r="B33" s="5" t="s">
        <v>158</v>
      </c>
      <c r="C33" s="7" t="s">
        <v>42</v>
      </c>
      <c r="D33" s="4" t="s">
        <v>43</v>
      </c>
      <c r="E33" s="4" t="s">
        <v>159</v>
      </c>
      <c r="F33" s="4" t="s">
        <v>160</v>
      </c>
      <c r="G33" s="4" t="s">
        <v>161</v>
      </c>
      <c r="H33" s="4" t="s">
        <v>162</v>
      </c>
      <c r="I33" s="4" t="s">
        <v>163</v>
      </c>
    </row>
    <row r="34" customFormat="false" ht="39.55" hidden="false" customHeight="false" outlineLevel="0" collapsed="false">
      <c r="A34" s="4" t="s">
        <v>157</v>
      </c>
      <c r="B34" s="5" t="s">
        <v>164</v>
      </c>
      <c r="C34" s="8" t="s">
        <v>50</v>
      </c>
      <c r="D34" s="4" t="s">
        <v>51</v>
      </c>
      <c r="E34" s="4" t="s">
        <v>165</v>
      </c>
      <c r="F34" s="4" t="s">
        <v>166</v>
      </c>
      <c r="G34" s="4" t="s">
        <v>167</v>
      </c>
      <c r="H34" s="4" t="s">
        <v>168</v>
      </c>
      <c r="I34" s="4" t="s">
        <v>169</v>
      </c>
    </row>
    <row r="35" customFormat="false" ht="26.85" hidden="false" customHeight="false" outlineLevel="0" collapsed="false">
      <c r="A35" s="4" t="s">
        <v>157</v>
      </c>
      <c r="B35" s="5" t="s">
        <v>170</v>
      </c>
      <c r="C35" s="8" t="s">
        <v>50</v>
      </c>
      <c r="D35" s="4" t="s">
        <v>58</v>
      </c>
      <c r="E35" s="4" t="s">
        <v>171</v>
      </c>
      <c r="F35" s="4" t="s">
        <v>172</v>
      </c>
      <c r="G35" s="4" t="s">
        <v>173</v>
      </c>
      <c r="H35" s="4" t="s">
        <v>174</v>
      </c>
      <c r="I35" s="4" t="s">
        <v>156</v>
      </c>
    </row>
    <row r="36" customFormat="false" ht="26.85" hidden="false" customHeight="false" outlineLevel="0" collapsed="false">
      <c r="A36" s="4" t="s">
        <v>157</v>
      </c>
      <c r="B36" s="5" t="s">
        <v>175</v>
      </c>
      <c r="C36" s="8" t="s">
        <v>50</v>
      </c>
      <c r="D36" s="4" t="s">
        <v>58</v>
      </c>
      <c r="E36" s="4" t="s">
        <v>28</v>
      </c>
      <c r="F36" s="4" t="s">
        <v>176</v>
      </c>
      <c r="G36" s="4" t="s">
        <v>177</v>
      </c>
      <c r="H36" s="4" t="s">
        <v>178</v>
      </c>
      <c r="I36" s="4" t="s">
        <v>179</v>
      </c>
    </row>
    <row r="37" customFormat="false" ht="26.85" hidden="false" customHeight="false" outlineLevel="0" collapsed="false">
      <c r="A37" s="4" t="s">
        <v>180</v>
      </c>
      <c r="B37" s="5" t="s">
        <v>181</v>
      </c>
      <c r="C37" s="6" t="s">
        <v>13</v>
      </c>
      <c r="D37" s="4" t="s">
        <v>14</v>
      </c>
      <c r="E37" s="4" t="s">
        <v>182</v>
      </c>
      <c r="F37" s="4" t="s">
        <v>183</v>
      </c>
      <c r="G37" s="4" t="s">
        <v>184</v>
      </c>
      <c r="H37" s="4" t="s">
        <v>185</v>
      </c>
      <c r="I37" s="4" t="s">
        <v>186</v>
      </c>
    </row>
    <row r="38" customFormat="false" ht="26.85" hidden="false" customHeight="false" outlineLevel="0" collapsed="false">
      <c r="A38" s="4" t="s">
        <v>180</v>
      </c>
      <c r="B38" s="5" t="s">
        <v>187</v>
      </c>
      <c r="C38" s="7" t="s">
        <v>42</v>
      </c>
      <c r="D38" s="4" t="s">
        <v>43</v>
      </c>
      <c r="E38" s="4" t="s">
        <v>188</v>
      </c>
      <c r="F38" s="4" t="s">
        <v>189</v>
      </c>
      <c r="G38" s="4" t="s">
        <v>190</v>
      </c>
      <c r="H38" s="4" t="s">
        <v>191</v>
      </c>
      <c r="I38" s="4" t="s">
        <v>192</v>
      </c>
    </row>
    <row r="39" customFormat="false" ht="26.85" hidden="false" customHeight="false" outlineLevel="0" collapsed="false">
      <c r="A39" s="4" t="s">
        <v>180</v>
      </c>
      <c r="B39" s="5" t="s">
        <v>193</v>
      </c>
      <c r="C39" s="6" t="s">
        <v>13</v>
      </c>
      <c r="D39" s="4" t="s">
        <v>14</v>
      </c>
      <c r="E39" s="4" t="s">
        <v>194</v>
      </c>
      <c r="F39" s="4" t="s">
        <v>195</v>
      </c>
      <c r="G39" s="4" t="s">
        <v>39</v>
      </c>
      <c r="H39" s="4" t="s">
        <v>28</v>
      </c>
      <c r="I39" s="4" t="s">
        <v>196</v>
      </c>
    </row>
    <row r="40" customFormat="false" ht="26.85" hidden="false" customHeight="false" outlineLevel="0" collapsed="false">
      <c r="A40" s="4" t="s">
        <v>180</v>
      </c>
      <c r="B40" s="5" t="s">
        <v>197</v>
      </c>
      <c r="C40" s="8" t="s">
        <v>50</v>
      </c>
      <c r="D40" s="4" t="s">
        <v>58</v>
      </c>
      <c r="E40" s="4" t="s">
        <v>198</v>
      </c>
      <c r="F40" s="4" t="s">
        <v>199</v>
      </c>
      <c r="G40" s="4" t="s">
        <v>200</v>
      </c>
      <c r="H40" s="4" t="s">
        <v>201</v>
      </c>
      <c r="I40" s="4" t="s">
        <v>202</v>
      </c>
    </row>
    <row r="41" customFormat="false" ht="26.85" hidden="false" customHeight="false" outlineLevel="0" collapsed="false">
      <c r="A41" s="4" t="s">
        <v>203</v>
      </c>
      <c r="B41" s="5" t="s">
        <v>204</v>
      </c>
      <c r="C41" s="6" t="s">
        <v>13</v>
      </c>
      <c r="D41" s="4" t="s">
        <v>14</v>
      </c>
      <c r="E41" s="4" t="s">
        <v>205</v>
      </c>
      <c r="F41" s="4" t="s">
        <v>28</v>
      </c>
      <c r="G41" s="4" t="s">
        <v>28</v>
      </c>
      <c r="H41" s="4" t="s">
        <v>28</v>
      </c>
      <c r="I41" s="4" t="s">
        <v>206</v>
      </c>
    </row>
    <row r="42" customFormat="false" ht="26.85" hidden="false" customHeight="false" outlineLevel="0" collapsed="false">
      <c r="A42" s="4" t="s">
        <v>203</v>
      </c>
      <c r="B42" s="5" t="s">
        <v>207</v>
      </c>
      <c r="C42" s="6" t="s">
        <v>13</v>
      </c>
      <c r="D42" s="4" t="s">
        <v>14</v>
      </c>
      <c r="E42" s="4" t="s">
        <v>208</v>
      </c>
      <c r="F42" s="4" t="s">
        <v>209</v>
      </c>
      <c r="G42" s="4" t="s">
        <v>28</v>
      </c>
      <c r="H42" s="4" t="s">
        <v>30</v>
      </c>
      <c r="I42" s="4" t="s">
        <v>210</v>
      </c>
    </row>
    <row r="43" customFormat="false" ht="26.85" hidden="false" customHeight="false" outlineLevel="0" collapsed="false">
      <c r="A43" s="4" t="s">
        <v>203</v>
      </c>
      <c r="B43" s="5" t="s">
        <v>211</v>
      </c>
      <c r="C43" s="6" t="s">
        <v>13</v>
      </c>
      <c r="D43" s="4" t="s">
        <v>14</v>
      </c>
      <c r="E43" s="4" t="s">
        <v>212</v>
      </c>
      <c r="F43" s="4" t="s">
        <v>213</v>
      </c>
      <c r="G43" s="4" t="s">
        <v>28</v>
      </c>
      <c r="H43" s="4" t="s">
        <v>28</v>
      </c>
      <c r="I43" s="4" t="s">
        <v>214</v>
      </c>
    </row>
    <row r="44" customFormat="false" ht="52.2" hidden="false" customHeight="false" outlineLevel="0" collapsed="false">
      <c r="A44" s="4" t="s">
        <v>203</v>
      </c>
      <c r="B44" s="5" t="s">
        <v>215</v>
      </c>
      <c r="C44" s="7" t="s">
        <v>42</v>
      </c>
      <c r="D44" s="4" t="s">
        <v>122</v>
      </c>
      <c r="E44" s="4" t="s">
        <v>216</v>
      </c>
      <c r="F44" s="4" t="s">
        <v>217</v>
      </c>
      <c r="G44" s="4" t="s">
        <v>218</v>
      </c>
      <c r="H44" s="4" t="s">
        <v>219</v>
      </c>
      <c r="I44" s="4" t="s">
        <v>220</v>
      </c>
    </row>
    <row r="45" customFormat="false" ht="26.85" hidden="false" customHeight="false" outlineLevel="0" collapsed="false">
      <c r="A45" s="4" t="s">
        <v>203</v>
      </c>
      <c r="B45" s="5" t="s">
        <v>221</v>
      </c>
      <c r="C45" s="7" t="s">
        <v>42</v>
      </c>
      <c r="D45" s="4" t="s">
        <v>122</v>
      </c>
      <c r="E45" s="4" t="s">
        <v>222</v>
      </c>
      <c r="F45" s="4" t="s">
        <v>223</v>
      </c>
      <c r="G45" s="4" t="s">
        <v>224</v>
      </c>
      <c r="H45" s="4" t="s">
        <v>225</v>
      </c>
      <c r="I45" s="4" t="s">
        <v>226</v>
      </c>
    </row>
    <row r="46" customFormat="false" ht="15" hidden="false" customHeight="false" outlineLevel="0" collapsed="false">
      <c r="A46" s="4" t="s">
        <v>203</v>
      </c>
      <c r="B46" s="5" t="s">
        <v>227</v>
      </c>
      <c r="C46" s="6" t="s">
        <v>13</v>
      </c>
      <c r="D46" s="4" t="s">
        <v>14</v>
      </c>
      <c r="E46" s="4" t="s">
        <v>228</v>
      </c>
      <c r="F46" s="4" t="s">
        <v>28</v>
      </c>
      <c r="G46" s="4" t="s">
        <v>28</v>
      </c>
      <c r="H46" s="4" t="s">
        <v>28</v>
      </c>
      <c r="I46" s="4" t="s">
        <v>229</v>
      </c>
    </row>
    <row r="47" customFormat="false" ht="26.85" hidden="false" customHeight="false" outlineLevel="0" collapsed="false">
      <c r="A47" s="4" t="s">
        <v>203</v>
      </c>
      <c r="B47" s="5" t="s">
        <v>230</v>
      </c>
      <c r="C47" s="8" t="s">
        <v>50</v>
      </c>
      <c r="D47" s="4" t="s">
        <v>58</v>
      </c>
      <c r="E47" s="4" t="s">
        <v>231</v>
      </c>
      <c r="F47" s="4" t="s">
        <v>232</v>
      </c>
      <c r="G47" s="4" t="s">
        <v>233</v>
      </c>
      <c r="H47" s="4" t="s">
        <v>155</v>
      </c>
      <c r="I47" s="4" t="s">
        <v>234</v>
      </c>
    </row>
    <row r="48" customFormat="false" ht="26.85" hidden="false" customHeight="false" outlineLevel="0" collapsed="false">
      <c r="A48" s="4" t="s">
        <v>203</v>
      </c>
      <c r="B48" s="5" t="s">
        <v>235</v>
      </c>
      <c r="C48" s="8" t="s">
        <v>50</v>
      </c>
      <c r="D48" s="4" t="s">
        <v>58</v>
      </c>
      <c r="E48" s="4" t="s">
        <v>236</v>
      </c>
      <c r="F48" s="4" t="s">
        <v>237</v>
      </c>
      <c r="G48" s="4" t="s">
        <v>238</v>
      </c>
      <c r="H48" s="4" t="s">
        <v>239</v>
      </c>
      <c r="I48" s="4" t="s">
        <v>150</v>
      </c>
    </row>
    <row r="49" customFormat="false" ht="26.85" hidden="false" customHeight="false" outlineLevel="0" collapsed="false">
      <c r="A49" s="4" t="s">
        <v>203</v>
      </c>
      <c r="B49" s="5" t="s">
        <v>240</v>
      </c>
      <c r="C49" s="8" t="s">
        <v>50</v>
      </c>
      <c r="D49" s="4" t="s">
        <v>58</v>
      </c>
      <c r="E49" s="4" t="s">
        <v>241</v>
      </c>
      <c r="F49" s="4" t="s">
        <v>242</v>
      </c>
      <c r="G49" s="4" t="s">
        <v>243</v>
      </c>
      <c r="H49" s="4" t="s">
        <v>244</v>
      </c>
      <c r="I49" s="4" t="s">
        <v>28</v>
      </c>
    </row>
    <row r="51" customFormat="false" ht="15" hidden="false" customHeight="false" outlineLevel="0" collapsed="false">
      <c r="A51" s="9" t="s">
        <v>245</v>
      </c>
    </row>
    <row r="52" customFormat="false" ht="15" hidden="false" customHeight="false" outlineLevel="0" collapsed="false">
      <c r="A52" s="2" t="s">
        <v>13</v>
      </c>
      <c r="B52" s="2" t="n">
        <f aca="false">COUNTIF($C$5:$C$49,"🟢 Grün")</f>
        <v>26</v>
      </c>
    </row>
    <row r="53" customFormat="false" ht="15" hidden="false" customHeight="false" outlineLevel="0" collapsed="false">
      <c r="A53" s="2" t="s">
        <v>42</v>
      </c>
      <c r="B53" s="2" t="n">
        <f aca="false">COUNTIF($C$5:$C$49,"🟡 Gelb")</f>
        <v>7</v>
      </c>
    </row>
    <row r="54" customFormat="false" ht="15" hidden="false" customHeight="false" outlineLevel="0" collapsed="false">
      <c r="A54" s="2" t="s">
        <v>50</v>
      </c>
      <c r="B54" s="2" t="n">
        <f aca="false">COUNTIF($C$5:$C$49,"🔴 Rot")</f>
        <v>12</v>
      </c>
    </row>
    <row r="55" customFormat="false" ht="15" hidden="false" customHeight="false" outlineLevel="0" collapsed="false">
      <c r="A55" s="9" t="s">
        <v>246</v>
      </c>
      <c r="B55" s="9" t="n">
        <f aca="false">SUM(B52:B54)</f>
        <v>45</v>
      </c>
    </row>
  </sheetData>
  <autoFilter ref="A4:I4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3" min="3" style="0" width="34"/>
    <col collapsed="false" customWidth="true" hidden="false" outlineLevel="0" max="4" min="4" style="0" width="24"/>
    <col collapsed="false" customWidth="true" hidden="false" outlineLevel="0" max="5" min="5" style="0" width="28"/>
    <col collapsed="false" customWidth="true" hidden="false" outlineLevel="0" max="6" min="6" style="0" width="38"/>
    <col collapsed="false" customWidth="true" hidden="false" outlineLevel="0" max="7" min="7" style="0" width="36"/>
    <col collapsed="false" customWidth="true" hidden="false" outlineLevel="0" max="8" min="8" style="0" width="34"/>
  </cols>
  <sheetData>
    <row r="1" customFormat="false" ht="15" hidden="false" customHeight="false" outlineLevel="0" collapsed="false">
      <c r="A1" s="3" t="s">
        <v>247</v>
      </c>
      <c r="B1" s="3" t="s">
        <v>248</v>
      </c>
      <c r="C1" s="3" t="s">
        <v>249</v>
      </c>
      <c r="D1" s="3" t="s">
        <v>250</v>
      </c>
      <c r="E1" s="3" t="s">
        <v>251</v>
      </c>
      <c r="F1" s="3" t="s">
        <v>252</v>
      </c>
      <c r="G1" s="3" t="s">
        <v>253</v>
      </c>
      <c r="H1" s="3" t="s">
        <v>254</v>
      </c>
    </row>
    <row r="2" customFormat="false" ht="39.55" hidden="false" customHeight="false" outlineLevel="0" collapsed="false">
      <c r="A2" s="5" t="s">
        <v>255</v>
      </c>
      <c r="B2" s="4" t="s">
        <v>256</v>
      </c>
      <c r="C2" s="4" t="s">
        <v>257</v>
      </c>
      <c r="D2" s="4" t="s">
        <v>258</v>
      </c>
      <c r="E2" s="4" t="s">
        <v>28</v>
      </c>
      <c r="F2" s="4" t="s">
        <v>259</v>
      </c>
      <c r="G2" s="4" t="s">
        <v>260</v>
      </c>
      <c r="H2" s="4" t="s">
        <v>261</v>
      </c>
    </row>
    <row r="3" customFormat="false" ht="26.85" hidden="false" customHeight="false" outlineLevel="0" collapsed="false">
      <c r="A3" s="5" t="s">
        <v>262</v>
      </c>
      <c r="B3" s="4" t="s">
        <v>263</v>
      </c>
      <c r="C3" s="4" t="s">
        <v>264</v>
      </c>
      <c r="D3" s="4" t="s">
        <v>265</v>
      </c>
      <c r="E3" s="4" t="s">
        <v>266</v>
      </c>
      <c r="F3" s="4" t="s">
        <v>267</v>
      </c>
      <c r="G3" s="4" t="s">
        <v>268</v>
      </c>
      <c r="H3" s="4" t="s">
        <v>269</v>
      </c>
    </row>
    <row r="4" customFormat="false" ht="26.85" hidden="false" customHeight="false" outlineLevel="0" collapsed="false">
      <c r="A4" s="5" t="s">
        <v>270</v>
      </c>
      <c r="B4" s="4" t="s">
        <v>271</v>
      </c>
      <c r="C4" s="4" t="s">
        <v>272</v>
      </c>
      <c r="D4" s="4" t="s">
        <v>273</v>
      </c>
      <c r="E4" s="4" t="s">
        <v>28</v>
      </c>
      <c r="F4" s="4" t="s">
        <v>274</v>
      </c>
      <c r="G4" s="4" t="s">
        <v>275</v>
      </c>
      <c r="H4" s="4" t="s">
        <v>276</v>
      </c>
    </row>
    <row r="5" customFormat="false" ht="26.85" hidden="false" customHeight="false" outlineLevel="0" collapsed="false">
      <c r="A5" s="5" t="s">
        <v>277</v>
      </c>
      <c r="B5" s="4" t="s">
        <v>278</v>
      </c>
      <c r="C5" s="4" t="s">
        <v>279</v>
      </c>
      <c r="D5" s="4" t="s">
        <v>280</v>
      </c>
      <c r="E5" s="4" t="s">
        <v>281</v>
      </c>
      <c r="F5" s="4" t="s">
        <v>282</v>
      </c>
      <c r="G5" s="4" t="s">
        <v>283</v>
      </c>
      <c r="H5" s="4" t="s">
        <v>284</v>
      </c>
    </row>
    <row r="6" customFormat="false" ht="26.85" hidden="false" customHeight="false" outlineLevel="0" collapsed="false">
      <c r="A6" s="5" t="s">
        <v>285</v>
      </c>
      <c r="B6" s="4" t="s">
        <v>286</v>
      </c>
      <c r="C6" s="4" t="s">
        <v>287</v>
      </c>
      <c r="D6" s="4" t="s">
        <v>173</v>
      </c>
      <c r="E6" s="4" t="s">
        <v>288</v>
      </c>
      <c r="F6" s="4" t="s">
        <v>289</v>
      </c>
      <c r="G6" s="4" t="s">
        <v>290</v>
      </c>
      <c r="H6" s="4" t="s">
        <v>291</v>
      </c>
    </row>
    <row r="7" customFormat="false" ht="39.55" hidden="false" customHeight="false" outlineLevel="0" collapsed="false">
      <c r="A7" s="5" t="s">
        <v>292</v>
      </c>
      <c r="B7" s="4" t="s">
        <v>293</v>
      </c>
      <c r="C7" s="4" t="s">
        <v>294</v>
      </c>
      <c r="D7" s="4" t="s">
        <v>295</v>
      </c>
      <c r="E7" s="4" t="s">
        <v>296</v>
      </c>
      <c r="F7" s="4" t="s">
        <v>297</v>
      </c>
      <c r="G7" s="4" t="s">
        <v>298</v>
      </c>
      <c r="H7" s="4" t="s">
        <v>299</v>
      </c>
    </row>
    <row r="8" customFormat="false" ht="26.85" hidden="false" customHeight="false" outlineLevel="0" collapsed="false">
      <c r="A8" s="5" t="s">
        <v>300</v>
      </c>
      <c r="B8" s="4" t="s">
        <v>301</v>
      </c>
      <c r="C8" s="4" t="s">
        <v>302</v>
      </c>
      <c r="D8" s="4" t="s">
        <v>303</v>
      </c>
      <c r="E8" s="4" t="s">
        <v>304</v>
      </c>
      <c r="F8" s="4" t="s">
        <v>305</v>
      </c>
      <c r="G8" s="4" t="s">
        <v>306</v>
      </c>
      <c r="H8" s="4" t="s">
        <v>307</v>
      </c>
    </row>
    <row r="9" customFormat="false" ht="26.85" hidden="false" customHeight="false" outlineLevel="0" collapsed="false">
      <c r="A9" s="5" t="s">
        <v>308</v>
      </c>
      <c r="B9" s="4" t="s">
        <v>309</v>
      </c>
      <c r="C9" s="4" t="s">
        <v>310</v>
      </c>
      <c r="D9" s="4" t="s">
        <v>311</v>
      </c>
      <c r="E9" s="4" t="s">
        <v>28</v>
      </c>
      <c r="F9" s="4" t="s">
        <v>312</v>
      </c>
      <c r="G9" s="4" t="s">
        <v>313</v>
      </c>
      <c r="H9" s="4" t="s">
        <v>314</v>
      </c>
    </row>
    <row r="10" customFormat="false" ht="39.55" hidden="false" customHeight="false" outlineLevel="0" collapsed="false">
      <c r="A10" s="5" t="s">
        <v>315</v>
      </c>
      <c r="B10" s="4" t="s">
        <v>316</v>
      </c>
      <c r="C10" s="4" t="s">
        <v>317</v>
      </c>
      <c r="D10" s="4" t="s">
        <v>318</v>
      </c>
      <c r="E10" s="4" t="s">
        <v>319</v>
      </c>
      <c r="F10" s="4" t="s">
        <v>320</v>
      </c>
      <c r="G10" s="4" t="s">
        <v>321</v>
      </c>
      <c r="H10" s="4" t="s">
        <v>322</v>
      </c>
    </row>
    <row r="11" customFormat="false" ht="39.55" hidden="false" customHeight="false" outlineLevel="0" collapsed="false">
      <c r="A11" s="5" t="s">
        <v>323</v>
      </c>
      <c r="B11" s="4" t="s">
        <v>324</v>
      </c>
      <c r="C11" s="4" t="s">
        <v>325</v>
      </c>
      <c r="D11" s="4" t="s">
        <v>326</v>
      </c>
      <c r="E11" s="4" t="s">
        <v>327</v>
      </c>
      <c r="F11" s="4" t="s">
        <v>328</v>
      </c>
      <c r="G11" s="4" t="s">
        <v>329</v>
      </c>
      <c r="H11" s="4" t="s">
        <v>330</v>
      </c>
    </row>
    <row r="12" customFormat="false" ht="26.85" hidden="false" customHeight="false" outlineLevel="0" collapsed="false">
      <c r="A12" s="5" t="s">
        <v>331</v>
      </c>
      <c r="B12" s="4" t="s">
        <v>332</v>
      </c>
      <c r="C12" s="4" t="s">
        <v>333</v>
      </c>
      <c r="D12" s="4" t="s">
        <v>334</v>
      </c>
      <c r="E12" s="4" t="s">
        <v>335</v>
      </c>
      <c r="F12" s="4" t="s">
        <v>336</v>
      </c>
      <c r="G12" s="4" t="s">
        <v>337</v>
      </c>
      <c r="H12" s="4" t="s">
        <v>338</v>
      </c>
    </row>
    <row r="13" customFormat="false" ht="39.55" hidden="false" customHeight="false" outlineLevel="0" collapsed="false">
      <c r="A13" s="5" t="s">
        <v>339</v>
      </c>
      <c r="B13" s="4" t="s">
        <v>340</v>
      </c>
      <c r="C13" s="4" t="s">
        <v>341</v>
      </c>
      <c r="D13" s="4" t="s">
        <v>342</v>
      </c>
      <c r="E13" s="4" t="s">
        <v>343</v>
      </c>
      <c r="F13" s="4" t="s">
        <v>344</v>
      </c>
      <c r="G13" s="4" t="s">
        <v>345</v>
      </c>
      <c r="H13" s="4" t="s">
        <v>346</v>
      </c>
    </row>
    <row r="14" customFormat="false" ht="26.85" hidden="false" customHeight="false" outlineLevel="0" collapsed="false">
      <c r="A14" s="5" t="s">
        <v>347</v>
      </c>
      <c r="B14" s="4" t="s">
        <v>348</v>
      </c>
      <c r="C14" s="4" t="s">
        <v>333</v>
      </c>
      <c r="D14" s="4" t="s">
        <v>349</v>
      </c>
      <c r="E14" s="4" t="s">
        <v>350</v>
      </c>
      <c r="F14" s="4" t="s">
        <v>351</v>
      </c>
      <c r="G14" s="4" t="s">
        <v>352</v>
      </c>
      <c r="H14" s="4" t="s">
        <v>243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9"/>
    <col collapsed="false" customWidth="true" hidden="false" outlineLevel="0" max="10" min="5" style="0" width="12"/>
    <col collapsed="false" customWidth="true" hidden="false" outlineLevel="0" max="11" min="11" style="0" width="26"/>
    <col collapsed="false" customWidth="true" hidden="false" outlineLevel="0" max="12" min="12" style="0" width="40"/>
  </cols>
  <sheetData>
    <row r="1" customFormat="false" ht="16.15" hidden="false" customHeight="false" outlineLevel="0" collapsed="false">
      <c r="A1" s="10" t="s">
        <v>353</v>
      </c>
    </row>
    <row r="2" customFormat="false" ht="15" hidden="false" customHeight="false" outlineLevel="0" collapsed="false">
      <c r="A2" s="2" t="s">
        <v>354</v>
      </c>
      <c r="E2" s="11" t="n">
        <f aca="false">1/1.113</f>
        <v>0.898472596585804</v>
      </c>
    </row>
    <row r="3" customFormat="false" ht="15" hidden="false" customHeight="false" outlineLevel="0" collapsed="false">
      <c r="A3" s="2" t="s">
        <v>355</v>
      </c>
      <c r="E3" s="12" t="n">
        <v>0.19</v>
      </c>
    </row>
    <row r="5" customFormat="false" ht="26.85" hidden="false" customHeight="false" outlineLevel="0" collapsed="false">
      <c r="A5" s="13" t="s">
        <v>356</v>
      </c>
      <c r="B5" s="13" t="s">
        <v>357</v>
      </c>
      <c r="C5" s="13" t="s">
        <v>358</v>
      </c>
      <c r="D5" s="13" t="s">
        <v>359</v>
      </c>
      <c r="E5" s="13" t="s">
        <v>360</v>
      </c>
      <c r="F5" s="13" t="s">
        <v>361</v>
      </c>
      <c r="G5" s="13" t="s">
        <v>362</v>
      </c>
      <c r="H5" s="13" t="s">
        <v>363</v>
      </c>
      <c r="I5" s="13" t="s">
        <v>364</v>
      </c>
      <c r="J5" s="13" t="s">
        <v>365</v>
      </c>
      <c r="K5" s="13" t="s">
        <v>366</v>
      </c>
      <c r="L5" s="13" t="s">
        <v>367</v>
      </c>
    </row>
    <row r="6" customFormat="false" ht="26.85" hidden="false" customHeight="false" outlineLevel="0" collapsed="false">
      <c r="A6" s="4" t="s">
        <v>368</v>
      </c>
      <c r="B6" s="4" t="s">
        <v>369</v>
      </c>
      <c r="C6" s="4" t="s">
        <v>370</v>
      </c>
      <c r="D6" s="4" t="s">
        <v>371</v>
      </c>
      <c r="E6" s="14" t="n">
        <v>0</v>
      </c>
      <c r="F6" s="14" t="n">
        <v>0</v>
      </c>
      <c r="G6" s="14" t="n">
        <v>0</v>
      </c>
      <c r="H6" s="15" t="n">
        <f aca="false">IF($D6="USD",E6*$E$2,E6)</f>
        <v>0</v>
      </c>
      <c r="I6" s="15" t="n">
        <f aca="false">IF($D6="USD",F6*$E$2,F6)</f>
        <v>0</v>
      </c>
      <c r="J6" s="15" t="n">
        <f aca="false">IF($D6="USD",G6*$E$2,G6)</f>
        <v>0</v>
      </c>
      <c r="K6" s="4" t="s">
        <v>372</v>
      </c>
      <c r="L6" s="4" t="s">
        <v>373</v>
      </c>
    </row>
    <row r="7" customFormat="false" ht="26.85" hidden="false" customHeight="false" outlineLevel="0" collapsed="false">
      <c r="A7" s="4" t="s">
        <v>374</v>
      </c>
      <c r="B7" s="4" t="s">
        <v>375</v>
      </c>
      <c r="C7" s="4" t="s">
        <v>376</v>
      </c>
      <c r="D7" s="4" t="s">
        <v>377</v>
      </c>
      <c r="E7" s="14" t="n">
        <v>0</v>
      </c>
      <c r="F7" s="14" t="n">
        <v>25</v>
      </c>
      <c r="G7" s="14" t="n">
        <v>25</v>
      </c>
      <c r="H7" s="15" t="n">
        <f aca="false">IF($D7="USD",E7*$E$2,E7)</f>
        <v>0</v>
      </c>
      <c r="I7" s="15" t="n">
        <f aca="false">IF($D7="USD",F7*$E$2,F7)</f>
        <v>22.4618149146451</v>
      </c>
      <c r="J7" s="15" t="n">
        <f aca="false">IF($D7="USD",G7*$E$2,G7)</f>
        <v>22.4618149146451</v>
      </c>
      <c r="K7" s="4" t="s">
        <v>372</v>
      </c>
      <c r="L7" s="4" t="s">
        <v>378</v>
      </c>
    </row>
    <row r="8" customFormat="false" ht="15" hidden="false" customHeight="false" outlineLevel="0" collapsed="false">
      <c r="A8" s="4" t="s">
        <v>379</v>
      </c>
      <c r="B8" s="4" t="s">
        <v>375</v>
      </c>
      <c r="C8" s="4" t="s">
        <v>380</v>
      </c>
      <c r="D8" s="4" t="s">
        <v>377</v>
      </c>
      <c r="E8" s="14" t="n">
        <v>0</v>
      </c>
      <c r="F8" s="14" t="n">
        <v>0</v>
      </c>
      <c r="G8" s="14" t="n">
        <v>5</v>
      </c>
      <c r="H8" s="15" t="n">
        <f aca="false">IF($D8="USD",E8*$E$2,E8)</f>
        <v>0</v>
      </c>
      <c r="I8" s="15" t="n">
        <f aca="false">IF($D8="USD",F8*$E$2,F8)</f>
        <v>0</v>
      </c>
      <c r="J8" s="15" t="n">
        <f aca="false">IF($D8="USD",G8*$E$2,G8)</f>
        <v>4.49236298292902</v>
      </c>
      <c r="K8" s="4" t="s">
        <v>381</v>
      </c>
      <c r="L8" s="4" t="s">
        <v>382</v>
      </c>
    </row>
    <row r="9" customFormat="false" ht="26.85" hidden="false" customHeight="false" outlineLevel="0" collapsed="false">
      <c r="A9" s="4" t="s">
        <v>383</v>
      </c>
      <c r="B9" s="4" t="s">
        <v>375</v>
      </c>
      <c r="C9" s="4" t="s">
        <v>384</v>
      </c>
      <c r="D9" s="4" t="s">
        <v>377</v>
      </c>
      <c r="E9" s="14" t="n">
        <v>0</v>
      </c>
      <c r="F9" s="14" t="n">
        <v>0</v>
      </c>
      <c r="G9" s="14" t="n">
        <v>22.5</v>
      </c>
      <c r="H9" s="15" t="n">
        <f aca="false">IF($D9="USD",E9*$E$2,E9)</f>
        <v>0</v>
      </c>
      <c r="I9" s="15" t="n">
        <f aca="false">IF($D9="USD",F9*$E$2,F9)</f>
        <v>0</v>
      </c>
      <c r="J9" s="15" t="n">
        <f aca="false">IF($D9="USD",G9*$E$2,G9)</f>
        <v>20.2156334231806</v>
      </c>
      <c r="K9" s="4" t="s">
        <v>385</v>
      </c>
      <c r="L9" s="4" t="s">
        <v>378</v>
      </c>
    </row>
    <row r="10" customFormat="false" ht="26.85" hidden="false" customHeight="false" outlineLevel="0" collapsed="false">
      <c r="A10" s="4" t="s">
        <v>386</v>
      </c>
      <c r="B10" s="4" t="s">
        <v>387</v>
      </c>
      <c r="C10" s="4" t="s">
        <v>388</v>
      </c>
      <c r="D10" s="4" t="s">
        <v>377</v>
      </c>
      <c r="E10" s="14" t="n">
        <v>0</v>
      </c>
      <c r="F10" s="14" t="n">
        <v>0</v>
      </c>
      <c r="G10" s="14" t="n">
        <v>9</v>
      </c>
      <c r="H10" s="15" t="n">
        <f aca="false">IF($D10="USD",E10*$E$2,E10)</f>
        <v>0</v>
      </c>
      <c r="I10" s="15" t="n">
        <f aca="false">IF($D10="USD",F10*$E$2,F10)</f>
        <v>0</v>
      </c>
      <c r="J10" s="15" t="n">
        <f aca="false">IF($D10="USD",G10*$E$2,G10)</f>
        <v>8.08625336927224</v>
      </c>
      <c r="K10" s="4" t="s">
        <v>389</v>
      </c>
      <c r="L10" s="4" t="s">
        <v>390</v>
      </c>
    </row>
    <row r="11" customFormat="false" ht="26.85" hidden="false" customHeight="false" outlineLevel="0" collapsed="false">
      <c r="A11" s="4" t="s">
        <v>391</v>
      </c>
      <c r="B11" s="4" t="s">
        <v>392</v>
      </c>
      <c r="C11" s="4" t="s">
        <v>393</v>
      </c>
      <c r="D11" s="4" t="s">
        <v>371</v>
      </c>
      <c r="E11" s="14" t="n">
        <v>1.675</v>
      </c>
      <c r="F11" s="14" t="n">
        <v>1.675</v>
      </c>
      <c r="G11" s="14" t="n">
        <v>1.675</v>
      </c>
      <c r="H11" s="15" t="n">
        <f aca="false">IF($D11="USD",E11*$E$2,E11)</f>
        <v>1.675</v>
      </c>
      <c r="I11" s="15" t="n">
        <f aca="false">IF($D11="USD",F11*$E$2,F11)</f>
        <v>1.675</v>
      </c>
      <c r="J11" s="15" t="n">
        <f aca="false">IF($D11="USD",G11*$E$2,G11)</f>
        <v>1.675</v>
      </c>
      <c r="K11" s="4" t="s">
        <v>394</v>
      </c>
      <c r="L11" s="4" t="s">
        <v>395</v>
      </c>
    </row>
    <row r="12" customFormat="false" ht="26.85" hidden="false" customHeight="false" outlineLevel="0" collapsed="false">
      <c r="A12" s="4" t="s">
        <v>235</v>
      </c>
      <c r="B12" s="4" t="s">
        <v>396</v>
      </c>
      <c r="C12" s="4" t="s">
        <v>397</v>
      </c>
      <c r="D12" s="4" t="s">
        <v>377</v>
      </c>
      <c r="E12" s="14" t="n">
        <v>0</v>
      </c>
      <c r="F12" s="14" t="n">
        <v>0</v>
      </c>
      <c r="G12" s="14" t="n">
        <v>26</v>
      </c>
      <c r="H12" s="15" t="n">
        <f aca="false">IF($D12="USD",E12*$E$2,E12)</f>
        <v>0</v>
      </c>
      <c r="I12" s="15" t="n">
        <f aca="false">IF($D12="USD",F12*$E$2,F12)</f>
        <v>0</v>
      </c>
      <c r="J12" s="15" t="n">
        <f aca="false">IF($D12="USD",G12*$E$2,G12)</f>
        <v>23.3602875112309</v>
      </c>
      <c r="K12" s="4" t="s">
        <v>372</v>
      </c>
      <c r="L12" s="4" t="s">
        <v>398</v>
      </c>
    </row>
    <row r="13" customFormat="false" ht="26.85" hidden="false" customHeight="false" outlineLevel="0" collapsed="false">
      <c r="A13" s="4" t="s">
        <v>399</v>
      </c>
      <c r="B13" s="4" t="s">
        <v>400</v>
      </c>
      <c r="C13" s="4" t="s">
        <v>401</v>
      </c>
      <c r="D13" s="4" t="s">
        <v>371</v>
      </c>
      <c r="E13" s="14" t="n">
        <v>0</v>
      </c>
      <c r="F13" s="14" t="n">
        <v>0</v>
      </c>
      <c r="G13" s="14" t="n">
        <v>0</v>
      </c>
      <c r="H13" s="15" t="n">
        <f aca="false">IF($D13="USD",E13*$E$2,E13)</f>
        <v>0</v>
      </c>
      <c r="I13" s="15" t="n">
        <f aca="false">IF($D13="USD",F13*$E$2,F13)</f>
        <v>0</v>
      </c>
      <c r="J13" s="15" t="n">
        <f aca="false">IF($D13="USD",G13*$E$2,G13)</f>
        <v>0</v>
      </c>
      <c r="K13" s="4" t="s">
        <v>372</v>
      </c>
      <c r="L13" s="4" t="s">
        <v>402</v>
      </c>
    </row>
    <row r="14" customFormat="false" ht="15" hidden="false" customHeight="false" outlineLevel="0" collapsed="false">
      <c r="A14" s="4" t="s">
        <v>403</v>
      </c>
      <c r="B14" s="4" t="s">
        <v>404</v>
      </c>
      <c r="C14" s="4" t="s">
        <v>405</v>
      </c>
      <c r="D14" s="4" t="s">
        <v>371</v>
      </c>
      <c r="E14" s="14" t="n">
        <v>0</v>
      </c>
      <c r="F14" s="14" t="n">
        <v>0</v>
      </c>
      <c r="G14" s="14" t="n">
        <v>0</v>
      </c>
      <c r="H14" s="15" t="n">
        <f aca="false">IF($D14="USD",E14*$E$2,E14)</f>
        <v>0</v>
      </c>
      <c r="I14" s="15" t="n">
        <f aca="false">IF($D14="USD",F14*$E$2,F14)</f>
        <v>0</v>
      </c>
      <c r="J14" s="15" t="n">
        <f aca="false">IF($D14="USD",G14*$E$2,G14)</f>
        <v>0</v>
      </c>
      <c r="K14" s="4" t="s">
        <v>372</v>
      </c>
      <c r="L14" s="4" t="s">
        <v>406</v>
      </c>
    </row>
    <row r="16" customFormat="false" ht="15" hidden="false" customHeight="false" outlineLevel="0" collapsed="false">
      <c r="A16" s="9" t="s">
        <v>407</v>
      </c>
      <c r="H16" s="16" t="n">
        <f aca="false">SUM(H6:H14)</f>
        <v>1.675</v>
      </c>
      <c r="I16" s="16" t="n">
        <f aca="false">SUM(I6:I14)</f>
        <v>24.1368149146451</v>
      </c>
      <c r="J16" s="16" t="n">
        <f aca="false">SUM(J6:J14)</f>
        <v>80.2913522012579</v>
      </c>
    </row>
    <row r="17" customFormat="false" ht="15" hidden="false" customHeight="false" outlineLevel="0" collapsed="false">
      <c r="A17" s="2" t="s">
        <v>408</v>
      </c>
      <c r="H17" s="17" t="n">
        <f aca="false">SUMIF($K$6:$K$14,"*Schätzung*",H6:H14)</f>
        <v>0</v>
      </c>
      <c r="I17" s="17" t="n">
        <f aca="false">SUMIF($K$6:$K$14,"*Schätzung*",I6:I14)</f>
        <v>0</v>
      </c>
      <c r="J17" s="17" t="n">
        <f aca="false">SUMIF($K$6:$K$14,"*Schätzung*",J6:J14)</f>
        <v>32.7942497753819</v>
      </c>
    </row>
    <row r="18" customFormat="false" ht="15" hidden="false" customHeight="false" outlineLevel="0" collapsed="false">
      <c r="A18" s="2" t="s">
        <v>409</v>
      </c>
      <c r="H18" s="17" t="n">
        <f aca="false">H16-H17</f>
        <v>1.675</v>
      </c>
      <c r="I18" s="17" t="n">
        <f aca="false">I16-I17</f>
        <v>24.1368149146451</v>
      </c>
      <c r="J18" s="17" t="n">
        <f aca="false">J16-J17</f>
        <v>47.497102425876</v>
      </c>
    </row>
    <row r="19" customFormat="false" ht="15" hidden="false" customHeight="false" outlineLevel="0" collapsed="false">
      <c r="A19" s="9" t="s">
        <v>410</v>
      </c>
      <c r="H19" s="16" t="n">
        <f aca="false">H16*12</f>
        <v>20.1</v>
      </c>
      <c r="I19" s="16" t="n">
        <f aca="false">I16*12</f>
        <v>289.641778975741</v>
      </c>
      <c r="J19" s="16" t="n">
        <f aca="false">J16*12</f>
        <v>963.496226415094</v>
      </c>
    </row>
    <row r="20" customFormat="false" ht="15" hidden="false" customHeight="false" outlineLevel="0" collapsed="false">
      <c r="A20" s="2" t="s">
        <v>411</v>
      </c>
      <c r="H20" s="17" t="n">
        <f aca="false">H19*(1+$E$3)</f>
        <v>23.919</v>
      </c>
      <c r="I20" s="17" t="n">
        <f aca="false">I19*(1+$E$3)</f>
        <v>344.673716981132</v>
      </c>
      <c r="J20" s="17" t="n">
        <f aca="false">J19*(1+$E$3)</f>
        <v>1146.56050943396</v>
      </c>
    </row>
    <row r="21" customFormat="false" ht="15" hidden="false" customHeight="false" outlineLevel="0" collapsed="false">
      <c r="A21" s="2" t="s">
        <v>412</v>
      </c>
    </row>
    <row r="23" customFormat="false" ht="15" hidden="false" customHeight="false" outlineLevel="0" collapsed="false">
      <c r="A23" s="18" t="s">
        <v>413</v>
      </c>
    </row>
    <row r="24" customFormat="false" ht="15" hidden="false" customHeight="false" outlineLevel="0" collapsed="false">
      <c r="A24" s="0" t="s">
        <v>414</v>
      </c>
      <c r="B24" s="0" t="s">
        <v>415</v>
      </c>
      <c r="C24" s="0" t="s">
        <v>416</v>
      </c>
      <c r="K24" s="0" t="s">
        <v>417</v>
      </c>
    </row>
    <row r="25" customFormat="false" ht="64.9" hidden="false" customHeight="false" outlineLevel="0" collapsed="false">
      <c r="A25" s="9" t="s">
        <v>418</v>
      </c>
      <c r="B25" s="4" t="s">
        <v>419</v>
      </c>
      <c r="C25" s="4" t="s">
        <v>420</v>
      </c>
      <c r="K25" s="4" t="s">
        <v>421</v>
      </c>
    </row>
    <row r="26" customFormat="false" ht="64.9" hidden="false" customHeight="false" outlineLevel="0" collapsed="false">
      <c r="A26" s="9" t="s">
        <v>422</v>
      </c>
      <c r="B26" s="4" t="s">
        <v>423</v>
      </c>
      <c r="C26" s="4" t="s">
        <v>424</v>
      </c>
      <c r="K26" s="4" t="s">
        <v>425</v>
      </c>
    </row>
    <row r="27" customFormat="false" ht="64.9" hidden="false" customHeight="false" outlineLevel="0" collapsed="false">
      <c r="A27" s="9" t="s">
        <v>426</v>
      </c>
      <c r="B27" s="4" t="s">
        <v>427</v>
      </c>
      <c r="C27" s="4" t="s">
        <v>428</v>
      </c>
      <c r="K27" s="4" t="s">
        <v>429</v>
      </c>
    </row>
    <row r="29" customFormat="false" ht="15" hidden="false" customHeight="false" outlineLevel="0" collapsed="false">
      <c r="A29" s="18" t="s">
        <v>430</v>
      </c>
    </row>
    <row r="30" customFormat="false" ht="15" hidden="false" customHeight="false" outlineLevel="0" collapsed="false">
      <c r="A30" s="4" t="s">
        <v>431</v>
      </c>
      <c r="B30" s="4" t="s">
        <v>432</v>
      </c>
      <c r="C30" s="4" t="s">
        <v>433</v>
      </c>
      <c r="L30" s="4" t="s">
        <v>434</v>
      </c>
    </row>
    <row r="31" customFormat="false" ht="26.85" hidden="false" customHeight="false" outlineLevel="0" collapsed="false">
      <c r="A31" s="4" t="s">
        <v>435</v>
      </c>
      <c r="B31" s="4" t="s">
        <v>436</v>
      </c>
      <c r="C31" s="4" t="s">
        <v>437</v>
      </c>
      <c r="L31" s="4" t="s">
        <v>438</v>
      </c>
    </row>
    <row r="32" customFormat="false" ht="15" hidden="false" customHeight="false" outlineLevel="0" collapsed="false">
      <c r="A32" s="4" t="s">
        <v>439</v>
      </c>
      <c r="B32" s="4" t="s">
        <v>375</v>
      </c>
      <c r="C32" s="4" t="s">
        <v>440</v>
      </c>
      <c r="L32" s="4" t="s">
        <v>378</v>
      </c>
    </row>
    <row r="33" customFormat="false" ht="26.85" hidden="false" customHeight="false" outlineLevel="0" collapsed="false">
      <c r="A33" s="4" t="s">
        <v>441</v>
      </c>
      <c r="B33" s="4" t="s">
        <v>442</v>
      </c>
      <c r="C33" s="4" t="s">
        <v>443</v>
      </c>
      <c r="L33" s="4" t="s">
        <v>402</v>
      </c>
    </row>
    <row r="34" customFormat="false" ht="26.85" hidden="false" customHeight="false" outlineLevel="0" collapsed="false">
      <c r="A34" s="4" t="s">
        <v>444</v>
      </c>
      <c r="B34" s="4" t="s">
        <v>445</v>
      </c>
      <c r="C34" s="4" t="s">
        <v>446</v>
      </c>
      <c r="L34" s="4" t="s">
        <v>447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0"/>
    <col collapsed="false" customWidth="true" hidden="false" outlineLevel="0" max="3" min="3" style="0" width="14"/>
  </cols>
  <sheetData>
    <row r="1" customFormat="false" ht="15" hidden="false" customHeight="false" outlineLevel="0" collapsed="false">
      <c r="A1" s="3" t="s">
        <v>448</v>
      </c>
      <c r="B1" s="3" t="s">
        <v>449</v>
      </c>
      <c r="C1" s="3" t="s">
        <v>450</v>
      </c>
    </row>
    <row r="2" customFormat="false" ht="15" hidden="false" customHeight="false" outlineLevel="0" collapsed="false">
      <c r="A2" s="4" t="s">
        <v>451</v>
      </c>
      <c r="B2" s="19" t="s">
        <v>452</v>
      </c>
      <c r="C2" s="4" t="s">
        <v>453</v>
      </c>
    </row>
    <row r="3" customFormat="false" ht="15" hidden="false" customHeight="false" outlineLevel="0" collapsed="false">
      <c r="A3" s="4" t="s">
        <v>454</v>
      </c>
      <c r="B3" s="19" t="s">
        <v>455</v>
      </c>
      <c r="C3" s="4" t="s">
        <v>453</v>
      </c>
    </row>
    <row r="4" customFormat="false" ht="15" hidden="false" customHeight="false" outlineLevel="0" collapsed="false">
      <c r="A4" s="4" t="s">
        <v>456</v>
      </c>
      <c r="B4" s="19" t="s">
        <v>457</v>
      </c>
      <c r="C4" s="4" t="s">
        <v>453</v>
      </c>
    </row>
    <row r="5" customFormat="false" ht="15" hidden="false" customHeight="false" outlineLevel="0" collapsed="false">
      <c r="A5" s="4" t="s">
        <v>458</v>
      </c>
      <c r="B5" s="19" t="s">
        <v>459</v>
      </c>
      <c r="C5" s="4" t="s">
        <v>453</v>
      </c>
    </row>
    <row r="6" customFormat="false" ht="15" hidden="false" customHeight="false" outlineLevel="0" collapsed="false">
      <c r="A6" s="4" t="s">
        <v>460</v>
      </c>
      <c r="B6" s="19" t="s">
        <v>461</v>
      </c>
      <c r="C6" s="4" t="s">
        <v>453</v>
      </c>
    </row>
    <row r="7" customFormat="false" ht="15" hidden="false" customHeight="false" outlineLevel="0" collapsed="false">
      <c r="A7" s="4" t="s">
        <v>462</v>
      </c>
      <c r="B7" s="19" t="s">
        <v>463</v>
      </c>
      <c r="C7" s="4" t="s">
        <v>453</v>
      </c>
    </row>
    <row r="8" customFormat="false" ht="15" hidden="false" customHeight="false" outlineLevel="0" collapsed="false">
      <c r="A8" s="4" t="s">
        <v>464</v>
      </c>
      <c r="B8" s="19" t="s">
        <v>465</v>
      </c>
      <c r="C8" s="4" t="s">
        <v>453</v>
      </c>
    </row>
    <row r="9" customFormat="false" ht="15" hidden="false" customHeight="false" outlineLevel="0" collapsed="false">
      <c r="A9" s="4" t="s">
        <v>466</v>
      </c>
      <c r="B9" s="19" t="s">
        <v>467</v>
      </c>
      <c r="C9" s="4" t="s">
        <v>453</v>
      </c>
    </row>
    <row r="10" customFormat="false" ht="15" hidden="false" customHeight="false" outlineLevel="0" collapsed="false">
      <c r="A10" s="4" t="s">
        <v>468</v>
      </c>
      <c r="B10" s="19" t="s">
        <v>469</v>
      </c>
      <c r="C10" s="4" t="s">
        <v>453</v>
      </c>
    </row>
    <row r="11" customFormat="false" ht="15" hidden="false" customHeight="false" outlineLevel="0" collapsed="false">
      <c r="A11" s="4" t="s">
        <v>470</v>
      </c>
      <c r="B11" s="19" t="s">
        <v>471</v>
      </c>
      <c r="C11" s="4" t="s">
        <v>453</v>
      </c>
    </row>
    <row r="12" customFormat="false" ht="15" hidden="false" customHeight="false" outlineLevel="0" collapsed="false">
      <c r="A12" s="4" t="s">
        <v>472</v>
      </c>
      <c r="B12" s="19" t="s">
        <v>473</v>
      </c>
      <c r="C12" s="4" t="s">
        <v>453</v>
      </c>
    </row>
    <row r="13" customFormat="false" ht="15" hidden="false" customHeight="false" outlineLevel="0" collapsed="false">
      <c r="A13" s="4" t="s">
        <v>474</v>
      </c>
      <c r="B13" s="19" t="s">
        <v>475</v>
      </c>
      <c r="C13" s="4" t="s">
        <v>453</v>
      </c>
    </row>
    <row r="14" customFormat="false" ht="15" hidden="false" customHeight="false" outlineLevel="0" collapsed="false">
      <c r="A14" s="4" t="s">
        <v>476</v>
      </c>
      <c r="B14" s="19" t="s">
        <v>477</v>
      </c>
      <c r="C14" s="4" t="s">
        <v>453</v>
      </c>
    </row>
    <row r="15" customFormat="false" ht="15" hidden="false" customHeight="false" outlineLevel="0" collapsed="false">
      <c r="A15" s="4" t="s">
        <v>431</v>
      </c>
      <c r="B15" s="19" t="s">
        <v>478</v>
      </c>
      <c r="C15" s="4" t="s">
        <v>453</v>
      </c>
    </row>
    <row r="16" customFormat="false" ht="15" hidden="false" customHeight="false" outlineLevel="0" collapsed="false">
      <c r="A16" s="4" t="s">
        <v>479</v>
      </c>
      <c r="B16" s="19" t="s">
        <v>480</v>
      </c>
      <c r="C16" s="4" t="s">
        <v>453</v>
      </c>
    </row>
    <row r="17" customFormat="false" ht="15" hidden="false" customHeight="false" outlineLevel="0" collapsed="false">
      <c r="A17" s="4" t="s">
        <v>481</v>
      </c>
      <c r="B17" s="19" t="s">
        <v>482</v>
      </c>
      <c r="C17" s="4" t="s">
        <v>453</v>
      </c>
    </row>
  </sheetData>
  <hyperlinks>
    <hyperlink ref="B2" r:id="rId1" display="https://supabase.com/pricing"/>
    <hyperlink ref="B3" r:id="rId2" display="https://supabase.com/docs/guides/platform/compute-and-disk"/>
    <hyperlink ref="B4" r:id="rId3" display="https://www.brevo.com/pricing/"/>
    <hyperlink ref="B5" r:id="rId4" display="https://www.sender.net/reviews/brevo/pricing/"/>
    <hyperlink ref="B6" r:id="rId5" display="https://resend.com/pricing"/>
    <hyperlink ref="B7" r:id="rId6" display="https://sentry.io/pricing/"/>
    <hyperlink ref="B8" r:id="rId7" display="https://open-meteo.com/en/pricing"/>
    <hyperlink ref="B9" r:id="rId8" display="https://openmeteo.substack.com/p/api-subscriptions-for-commercial"/>
    <hyperlink ref="B10" r:id="rId9" display="https://developers.cloudflare.com/r2/pricing/"/>
    <hyperlink ref="B11" r:id="rId10" display="https://developers.cloudflare.com/pages/platform/limits/"/>
    <hyperlink ref="B12" r:id="rId11" display="https://docs.github.com/en/pages/getting-started-with-github-pages/github-pages-limits"/>
    <hyperlink ref="B13" r:id="rId12" display="https://www.hetzner.com/cloud/regular-performance/"/>
    <hyperlink ref="B14" r:id="rId13" display="https://www.inwx.de/app-domain"/>
    <hyperlink ref="B15" r:id="rId14" display="https://developer.apple.com/programs/"/>
    <hyperlink ref="B16" r:id="rId15" display="https://support.google.com/googleplay/android-developer/answer/6112435"/>
    <hyperlink ref="B17" r:id="rId16" display="https://www.ecb.europa.eu/stats/policy_and_exchange_rates/euro_reference_exchange_rates/html/index.en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70"/>
    <col collapsed="false" customWidth="true" hidden="false" outlineLevel="0" max="3" min="3" style="0" width="10"/>
  </cols>
  <sheetData>
    <row r="1" customFormat="false" ht="15" hidden="false" customHeight="false" outlineLevel="0" collapsed="false">
      <c r="A1" s="3" t="s">
        <v>483</v>
      </c>
      <c r="B1" s="3" t="s">
        <v>484</v>
      </c>
      <c r="C1" s="3" t="s">
        <v>485</v>
      </c>
    </row>
    <row r="2" customFormat="false" ht="15" hidden="false" customHeight="false" outlineLevel="0" collapsed="false">
      <c r="A2" s="4" t="s">
        <v>486</v>
      </c>
      <c r="B2" s="4" t="s">
        <v>487</v>
      </c>
      <c r="C2" s="4" t="n">
        <v>7</v>
      </c>
    </row>
    <row r="3" customFormat="false" ht="15" hidden="false" customHeight="false" outlineLevel="0" collapsed="false">
      <c r="A3" s="4" t="s">
        <v>488</v>
      </c>
      <c r="B3" s="4" t="s">
        <v>489</v>
      </c>
      <c r="C3" s="4" t="n">
        <v>8</v>
      </c>
    </row>
    <row r="4" customFormat="false" ht="26.85" hidden="false" customHeight="false" outlineLevel="0" collapsed="false">
      <c r="A4" s="4" t="s">
        <v>490</v>
      </c>
      <c r="B4" s="4" t="s">
        <v>491</v>
      </c>
      <c r="C4" s="4" t="n">
        <v>10</v>
      </c>
    </row>
    <row r="5" customFormat="false" ht="15" hidden="false" customHeight="false" outlineLevel="0" collapsed="false">
      <c r="A5" s="4" t="s">
        <v>492</v>
      </c>
      <c r="B5" s="4" t="s">
        <v>493</v>
      </c>
      <c r="C5" s="4" t="n">
        <v>10</v>
      </c>
    </row>
    <row r="6" customFormat="false" ht="15" hidden="false" customHeight="false" outlineLevel="0" collapsed="false">
      <c r="A6" s="4" t="s">
        <v>494</v>
      </c>
      <c r="B6" s="4" t="s">
        <v>495</v>
      </c>
      <c r="C6" s="4" t="n">
        <v>9</v>
      </c>
    </row>
    <row r="7" customFormat="false" ht="15" hidden="false" customHeight="false" outlineLevel="0" collapsed="false">
      <c r="A7" s="4" t="s">
        <v>496</v>
      </c>
      <c r="B7" s="4" t="s">
        <v>497</v>
      </c>
      <c r="C7" s="4" t="n">
        <v>11</v>
      </c>
    </row>
    <row r="8" customFormat="false" ht="15" hidden="false" customHeight="false" outlineLevel="0" collapsed="false">
      <c r="A8" s="4" t="s">
        <v>498</v>
      </c>
      <c r="B8" s="4" t="s">
        <v>499</v>
      </c>
      <c r="C8" s="4" t="n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2026-10-30T06:37:48Z</dcterms:created>
  <dc:creator>openpyxl</dc:creator>
  <dc:description/>
  <dc:language>en-US</dc:language>
  <cp:lastModifiedBy/>
  <dcterms:modified xsi:type="dcterms:W3CDTF">2026-10-30T06:37:48Z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